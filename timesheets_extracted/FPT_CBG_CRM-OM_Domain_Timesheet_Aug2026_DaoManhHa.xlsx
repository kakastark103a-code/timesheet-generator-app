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2" activeTab="1" autoFilterDateGrouping="1"/>
  </bookViews>
  <sheets>
    <sheet xmlns:r="http://schemas.openxmlformats.org/officeDocument/2006/relationships" name="Timeshee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alance Leave" sheetId="3" state="visible" r:id="rId3"/>
  </sheets>
  <definedNames>
    <definedName name="_xlnm._FilterDatabase" localSheetId="0" hidden="1">'Timesheet'!$A$1:$J$147</definedName>
    <definedName name="_xlnm._FilterDatabase" localSheetId="1" hidden="1">'Summary'!$A$1:$K$3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[$-409]d\-mmm\-yy;@"/>
    <numFmt numFmtId="166" formatCode="yyyy-mm-dd h:mm:ss"/>
  </numFmts>
  <fonts count="32">
    <font>
      <name val="Calibri"/>
      <charset val="134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color theme="1"/>
      <sz val="12"/>
      <scheme val="minor"/>
    </font>
    <font>
      <name val="Calibri"/>
      <charset val="134"/>
      <color theme="1"/>
      <sz val="11"/>
      <scheme val="minor"/>
    </font>
    <font>
      <name val="Calibri"/>
      <charset val="134"/>
      <sz val="11"/>
      <scheme val="minor"/>
    </font>
    <font>
      <name val="Calibri"/>
      <family val="2"/>
      <color rgb="FFFF0000"/>
      <sz val="11"/>
    </font>
    <font>
      <name val="Calibri"/>
      <family val="2"/>
      <color rgb="FFFF0000"/>
      <sz val="12"/>
      <scheme val="minor"/>
    </font>
    <font>
      <name val="Calibri"/>
      <charset val="134"/>
      <color rgb="FFFF0000"/>
      <sz val="12"/>
      <scheme val="minor"/>
    </font>
    <font>
      <name val="Calibri"/>
      <charset val="1"/>
      <color rgb="FF000000"/>
      <sz val="12"/>
    </font>
    <font>
      <name val="Calibri"/>
      <family val="2"/>
      <sz val="12"/>
      <scheme val="minor"/>
    </font>
    <font>
      <name val="Calibri"/>
      <b val="1"/>
      <color rgb="FF000000"/>
      <sz val="11"/>
      <scheme val="minor"/>
    </font>
    <font>
      <name val="Calibri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charset val="134"/>
      <color rgb="FFFF0000"/>
      <sz val="11"/>
      <scheme val="minor"/>
    </font>
    <font>
      <name val="Calibri"/>
      <charset val="1"/>
      <color rgb="FFFF0000"/>
      <sz val="12"/>
    </font>
    <font>
      <name val="Calibri"/>
      <color rgb="00000000"/>
      <sz val="12"/>
    </font>
    <font>
      <name val="Calibri"/>
      <color rgb="00000000"/>
      <sz val="11"/>
    </font>
    <font>
      <name val="Calibri"/>
      <color rgb="00FF0000"/>
      <sz val="12"/>
    </font>
    <font>
      <name val="Calibri"/>
      <color rgb="00FF0000"/>
      <sz val="11"/>
    </font>
  </fonts>
  <fills count="10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D9D9D9"/>
        <bgColor rgb="00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11" fillId="0" borderId="0"/>
  </cellStyleXfs>
  <cellXfs count="107">
    <xf numFmtId="0" fontId="0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164" fontId="3" fillId="6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/>
    </xf>
    <xf numFmtId="0" fontId="6" fillId="5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3" fillId="4" borderId="6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wrapText="1"/>
    </xf>
    <xf numFmtId="0" fontId="3" fillId="4" borderId="5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center" vertical="top"/>
    </xf>
    <xf numFmtId="0" fontId="1" fillId="2" borderId="1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1" applyAlignment="1" pivotButton="0" quotePrefix="0" xfId="0">
      <alignment horizontal="center"/>
    </xf>
    <xf numFmtId="0" fontId="16" fillId="0" borderId="0" pivotButton="0" quotePrefix="0" xfId="0"/>
    <xf numFmtId="0" fontId="12" fillId="0" borderId="1" pivotButton="0" quotePrefix="0" xfId="0"/>
    <xf numFmtId="1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5" fillId="0" borderId="2" applyAlignment="1" pivotButton="0" quotePrefix="0" xfId="0">
      <alignment horizontal="center" vertical="center"/>
    </xf>
    <xf numFmtId="0" fontId="1" fillId="2" borderId="2" pivotButton="0" quotePrefix="0" xfId="0"/>
    <xf numFmtId="0" fontId="6" fillId="0" borderId="2" applyAlignment="1" pivotButton="0" quotePrefix="0" xfId="0">
      <alignment vertical="top"/>
    </xf>
    <xf numFmtId="0" fontId="5" fillId="0" borderId="2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16" fontId="0" fillId="0" borderId="0" applyAlignment="1" pivotButton="0" quotePrefix="0" xfId="0">
      <alignment horizontal="center" vertical="top"/>
    </xf>
    <xf numFmtId="15" fontId="0" fillId="0" borderId="0" applyAlignment="1" pivotButton="0" quotePrefix="0" xfId="0">
      <alignment horizontal="center" vertical="top"/>
    </xf>
    <xf numFmtId="0" fontId="17" fillId="0" borderId="0" applyAlignment="1" pivotButton="0" quotePrefix="0" xfId="0">
      <alignment vertical="top"/>
    </xf>
    <xf numFmtId="16" fontId="16" fillId="0" borderId="0" applyAlignment="1" pivotButton="0" quotePrefix="0" xfId="0">
      <alignment horizontal="center" vertical="top"/>
    </xf>
    <xf numFmtId="15" fontId="16" fillId="0" borderId="0" applyAlignment="1" pivotButton="0" quotePrefix="0" xfId="0">
      <alignment horizontal="center" vertical="top"/>
    </xf>
    <xf numFmtId="0" fontId="16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/>
    </xf>
    <xf numFmtId="17" fontId="13" fillId="0" borderId="0" applyAlignment="1" pivotButton="0" quotePrefix="0" xfId="0">
      <alignment horizontal="center" vertical="top"/>
    </xf>
    <xf numFmtId="15" fontId="14" fillId="0" borderId="0" applyAlignment="1" pivotButton="0" quotePrefix="0" xfId="0">
      <alignment horizontal="right" vertical="top" wrapText="1"/>
    </xf>
    <xf numFmtId="0" fontId="15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7" fillId="0" borderId="0" pivotButton="0" quotePrefix="0" xfId="0"/>
    <xf numFmtId="0" fontId="18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/>
    </xf>
    <xf numFmtId="0" fontId="21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22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17" fontId="1" fillId="0" borderId="0" applyAlignment="1" pivotButton="0" quotePrefix="0" xfId="0">
      <alignment horizontal="center" vertical="top"/>
    </xf>
    <xf numFmtId="165" fontId="0" fillId="0" borderId="0" pivotButton="0" quotePrefix="0" xfId="0"/>
    <xf numFmtId="0" fontId="2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23" fillId="0" borderId="0" pivotButton="0" quotePrefix="0" xfId="0"/>
    <xf numFmtId="0" fontId="23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25" fillId="0" borderId="0" pivotButton="0" quotePrefix="0" xfId="0"/>
    <xf numFmtId="0" fontId="25" fillId="0" borderId="0" applyAlignment="1" pivotButton="0" quotePrefix="0" xfId="0">
      <alignment wrapText="1"/>
    </xf>
    <xf numFmtId="0" fontId="24" fillId="0" borderId="0" applyAlignment="1" pivotButton="0" quotePrefix="0" xfId="0">
      <alignment vertical="center"/>
    </xf>
    <xf numFmtId="0" fontId="14" fillId="0" borderId="0" pivotButton="0" quotePrefix="0" xfId="0"/>
    <xf numFmtId="0" fontId="14" fillId="0" borderId="0" applyAlignment="1" pivotButton="0" quotePrefix="0" xfId="0">
      <alignment wrapText="1"/>
    </xf>
    <xf numFmtId="17" fontId="4" fillId="7" borderId="2" applyAlignment="1" pivotButton="0" quotePrefix="0" xfId="0">
      <alignment vertical="top" wrapText="1"/>
    </xf>
    <xf numFmtId="0" fontId="4" fillId="7" borderId="2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/>
    </xf>
    <xf numFmtId="17" fontId="26" fillId="0" borderId="0" applyAlignment="1" pivotButton="0" quotePrefix="0" xfId="0">
      <alignment horizontal="center" vertical="top"/>
    </xf>
    <xf numFmtId="0" fontId="27" fillId="0" borderId="0" pivotButton="0" quotePrefix="0" xfId="0"/>
    <xf numFmtId="17" fontId="24" fillId="0" borderId="0" applyAlignment="1" pivotButton="0" quotePrefix="0" xfId="0">
      <alignment horizontal="center" vertical="top"/>
    </xf>
    <xf numFmtId="165" fontId="16" fillId="0" borderId="0" pivotButton="0" quotePrefix="0" xfId="0"/>
    <xf numFmtId="0" fontId="24" fillId="0" borderId="0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 wrapText="1"/>
    </xf>
    <xf numFmtId="164" fontId="3" fillId="6" borderId="8" applyAlignment="1" pivotButton="0" quotePrefix="0" xfId="0">
      <alignment horizontal="center" vertical="center" wrapText="1"/>
    </xf>
    <xf numFmtId="164" fontId="3" fillId="6" borderId="3" applyAlignment="1" pivotButton="0" quotePrefix="0" xfId="0">
      <alignment horizontal="center" vertical="center" wrapText="1"/>
    </xf>
    <xf numFmtId="164" fontId="3" fillId="6" borderId="4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8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164" fontId="4" fillId="5" borderId="2" applyAlignment="1" pivotButton="0" quotePrefix="0" xfId="0">
      <alignment horizontal="center" vertical="center" wrapText="1"/>
    </xf>
    <xf numFmtId="164" fontId="4" fillId="5" borderId="8" applyAlignment="1" pivotButton="0" quotePrefix="0" xfId="0">
      <alignment horizontal="center" vertical="center" wrapText="1"/>
    </xf>
    <xf numFmtId="17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17" fontId="28" fillId="0" borderId="0" applyAlignment="1" pivotButton="0" quotePrefix="0" xfId="0">
      <alignment horizontal="center" vertical="center"/>
    </xf>
    <xf numFmtId="15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center" vertical="center"/>
    </xf>
    <xf numFmtId="17" fontId="30" fillId="0" borderId="0" applyAlignment="1" pivotButton="0" quotePrefix="0" xfId="0">
      <alignment horizontal="center" vertical="center"/>
    </xf>
    <xf numFmtId="15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/>
    </xf>
    <xf numFmtId="0" fontId="3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left" vertical="center"/>
    </xf>
    <xf numFmtId="0" fontId="4" fillId="5" borderId="13" applyAlignment="1" pivotButton="0" quotePrefix="0" xfId="0">
      <alignment horizontal="center" vertical="center" wrapText="1"/>
    </xf>
    <xf numFmtId="164" fontId="4" fillId="5" borderId="13" applyAlignment="1" pivotButton="0" quotePrefix="0" xfId="0">
      <alignment horizontal="center" vertical="center" wrapText="1"/>
    </xf>
    <xf numFmtId="164" fontId="3" fillId="6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9" borderId="13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dxfs count="4">
    <dxf>
      <font>
        <color theme="5" tint="-0.249946592608417"/>
      </font>
    </dxf>
    <dxf>
      <font>
        <color rgb="FFFF0000"/>
      </font>
    </dxf>
    <dxf>
      <font>
        <color rgb="00FF0000"/>
      </font>
    </dxf>
    <dxf>
      <font>
        <color rgb="00C0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Microsoft Office User</author>
  </authors>
  <commentList>
    <comment ref="A1" authorId="0" shapeId="0">
      <text>
        <t>Microsoft Office User:
Format: MMM-YY</t>
      </text>
    </comment>
    <comment ref="B1" authorId="0" shapeId="0">
      <text>
        <t>Microsoft Office User:
Format: DD-MMM-YY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22"/>
  <sheetViews>
    <sheetView zoomScaleNormal="100" workbookViewId="0">
      <pane ySplit="1" topLeftCell="A125" activePane="bottomLeft" state="frozen"/>
      <selection pane="bottomLeft" activeCell="F141" sqref="F141"/>
    </sheetView>
  </sheetViews>
  <sheetFormatPr baseColWidth="8" defaultColWidth="13.125" defaultRowHeight="15.75"/>
  <cols>
    <col width="14" bestFit="1" customWidth="1" style="21" min="1" max="1"/>
    <col width="15" customWidth="1" style="14" min="2" max="2"/>
    <col width="22" customWidth="1" style="22" min="3" max="3"/>
    <col width="28" customWidth="1" style="22" min="4" max="4"/>
    <col width="36" customWidth="1" style="22" min="5" max="5"/>
    <col width="30" customWidth="1" style="22" min="6" max="6"/>
    <col width="24" customWidth="1" style="22" min="7" max="7"/>
    <col width="16" customWidth="1" style="22" min="8" max="8"/>
    <col width="14" customWidth="1" style="22" min="9" max="9"/>
    <col width="18" customWidth="1" style="14" min="10" max="10"/>
    <col width="36" bestFit="1" customWidth="1" min="12" max="12"/>
  </cols>
  <sheetData>
    <row r="1" ht="28" customFormat="1" customHeight="1" s="13">
      <c r="A1" s="86" t="inlineStr">
        <is>
          <t>Month</t>
        </is>
      </c>
      <c r="B1" s="87" t="inlineStr">
        <is>
          <t>Date</t>
        </is>
      </c>
      <c r="C1" s="87" t="inlineStr">
        <is>
          <t>Work Item Type</t>
        </is>
      </c>
      <c r="D1" s="87" t="inlineStr">
        <is>
          <t>Surf Request Id/ Project Id</t>
        </is>
      </c>
      <c r="E1" s="87" t="inlineStr">
        <is>
          <t>Project Name</t>
        </is>
      </c>
      <c r="F1" s="87" t="inlineStr">
        <is>
          <t>Task (Optional)</t>
        </is>
      </c>
      <c r="G1" s="87" t="inlineStr">
        <is>
          <t>Resource</t>
        </is>
      </c>
      <c r="H1" s="87" t="inlineStr">
        <is>
          <t>Team</t>
        </is>
      </c>
      <c r="I1" s="87" t="inlineStr">
        <is>
          <t>Vendor Name</t>
        </is>
      </c>
      <c r="J1" s="87" t="inlineStr">
        <is>
          <t>Actual Time (hour)</t>
        </is>
      </c>
    </row>
    <row r="2" hidden="1" ht="22" customHeight="1">
      <c r="A2" s="88" t="n">
        <v>46235</v>
      </c>
      <c r="B2" s="89" t="n">
        <v>46237</v>
      </c>
      <c r="C2" s="90" t="inlineStr">
        <is>
          <t>Project Task</t>
        </is>
      </c>
      <c r="D2" s="91" t="inlineStr"/>
      <c r="E2" s="90" t="inlineStr"/>
      <c r="F2" s="90" t="inlineStr">
        <is>
          <t>Production support</t>
        </is>
      </c>
      <c r="G2" s="90" t="inlineStr">
        <is>
          <t>Dao Manh Ha</t>
        </is>
      </c>
      <c r="H2" s="90" t="inlineStr">
        <is>
          <t>EAI</t>
        </is>
      </c>
      <c r="I2" s="90" t="inlineStr">
        <is>
          <t>FPT</t>
        </is>
      </c>
      <c r="J2" s="92" t="n">
        <v>8</v>
      </c>
    </row>
    <row r="3" hidden="1" ht="22" customHeight="1">
      <c r="A3" s="88" t="n">
        <v>46235</v>
      </c>
      <c r="B3" s="89" t="n">
        <v>46238</v>
      </c>
      <c r="C3" s="90" t="inlineStr">
        <is>
          <t>Project Task</t>
        </is>
      </c>
      <c r="D3" s="91" t="inlineStr"/>
      <c r="E3" s="90" t="inlineStr"/>
      <c r="F3" s="90" t="inlineStr">
        <is>
          <t>Production support</t>
        </is>
      </c>
      <c r="G3" s="90" t="inlineStr">
        <is>
          <t>Dao Manh Ha</t>
        </is>
      </c>
      <c r="H3" s="90" t="inlineStr">
        <is>
          <t>EAI</t>
        </is>
      </c>
      <c r="I3" s="90" t="inlineStr">
        <is>
          <t>FPT</t>
        </is>
      </c>
      <c r="J3" s="92" t="n">
        <v>8</v>
      </c>
    </row>
    <row r="4" hidden="1" ht="22" customHeight="1">
      <c r="A4" s="88" t="n">
        <v>46235</v>
      </c>
      <c r="B4" s="89" t="n">
        <v>46239</v>
      </c>
      <c r="C4" s="90" t="inlineStr">
        <is>
          <t>Project Task</t>
        </is>
      </c>
      <c r="D4" s="91" t="inlineStr"/>
      <c r="E4" s="90" t="inlineStr"/>
      <c r="F4" s="90" t="inlineStr">
        <is>
          <t>Production support</t>
        </is>
      </c>
      <c r="G4" s="90" t="inlineStr">
        <is>
          <t>Dao Manh Ha</t>
        </is>
      </c>
      <c r="H4" s="90" t="inlineStr">
        <is>
          <t>EAI</t>
        </is>
      </c>
      <c r="I4" s="90" t="inlineStr">
        <is>
          <t>FPT</t>
        </is>
      </c>
      <c r="J4" s="92" t="n">
        <v>8</v>
      </c>
    </row>
    <row r="5" hidden="1" ht="22" customHeight="1">
      <c r="A5" s="88" t="n">
        <v>46235</v>
      </c>
      <c r="B5" s="89" t="n">
        <v>46240</v>
      </c>
      <c r="C5" s="90" t="inlineStr">
        <is>
          <t>Project Task</t>
        </is>
      </c>
      <c r="D5" s="91" t="inlineStr"/>
      <c r="E5" s="90" t="inlineStr"/>
      <c r="F5" s="90" t="inlineStr">
        <is>
          <t>Production support</t>
        </is>
      </c>
      <c r="G5" s="90" t="inlineStr">
        <is>
          <t>Dao Manh Ha</t>
        </is>
      </c>
      <c r="H5" s="90" t="inlineStr">
        <is>
          <t>EAI</t>
        </is>
      </c>
      <c r="I5" s="90" t="inlineStr">
        <is>
          <t>FPT</t>
        </is>
      </c>
      <c r="J5" s="92" t="n">
        <v>8</v>
      </c>
    </row>
    <row r="6" hidden="1" ht="22" customHeight="1">
      <c r="A6" s="88" t="n">
        <v>46235</v>
      </c>
      <c r="B6" s="89" t="n">
        <v>46241</v>
      </c>
      <c r="C6" s="90" t="inlineStr">
        <is>
          <t>Project Task</t>
        </is>
      </c>
      <c r="D6" s="91" t="inlineStr"/>
      <c r="E6" s="90" t="inlineStr"/>
      <c r="F6" s="90" t="inlineStr">
        <is>
          <t>Production support</t>
        </is>
      </c>
      <c r="G6" s="90" t="inlineStr">
        <is>
          <t>Dao Manh Ha</t>
        </is>
      </c>
      <c r="H6" s="90" t="inlineStr">
        <is>
          <t>EAI</t>
        </is>
      </c>
      <c r="I6" s="90" t="inlineStr">
        <is>
          <t>FPT</t>
        </is>
      </c>
      <c r="J6" s="92" t="n">
        <v>8</v>
      </c>
    </row>
    <row r="7" hidden="1" ht="22" customHeight="1">
      <c r="A7" s="93" t="n">
        <v>46235</v>
      </c>
      <c r="B7" s="94" t="n">
        <v>46244</v>
      </c>
      <c r="C7" s="95" t="inlineStr">
        <is>
          <t>Public Holiday</t>
        </is>
      </c>
      <c r="D7" s="96" t="inlineStr">
        <is>
          <t>PH</t>
        </is>
      </c>
      <c r="E7" s="95" t="inlineStr">
        <is>
          <t>National Day (observed)</t>
        </is>
      </c>
      <c r="F7" s="95" t="inlineStr"/>
      <c r="G7" s="95" t="inlineStr">
        <is>
          <t>Dao Manh Ha</t>
        </is>
      </c>
      <c r="H7" s="95" t="inlineStr">
        <is>
          <t>EAI</t>
        </is>
      </c>
      <c r="I7" s="95" t="inlineStr">
        <is>
          <t>FPT</t>
        </is>
      </c>
      <c r="J7" s="97" t="n">
        <v>0</v>
      </c>
    </row>
    <row r="8" hidden="1" ht="22" customHeight="1">
      <c r="A8" s="88" t="n">
        <v>46235</v>
      </c>
      <c r="B8" s="89" t="n">
        <v>46245</v>
      </c>
      <c r="C8" s="90" t="inlineStr">
        <is>
          <t>Project Task</t>
        </is>
      </c>
      <c r="D8" s="91" t="inlineStr"/>
      <c r="E8" s="90" t="inlineStr"/>
      <c r="F8" s="90" t="inlineStr">
        <is>
          <t>Production support</t>
        </is>
      </c>
      <c r="G8" s="90" t="inlineStr">
        <is>
          <t>Dao Manh Ha</t>
        </is>
      </c>
      <c r="H8" s="90" t="inlineStr">
        <is>
          <t>EAI</t>
        </is>
      </c>
      <c r="I8" s="90" t="inlineStr">
        <is>
          <t>FPT</t>
        </is>
      </c>
      <c r="J8" s="92" t="n">
        <v>8</v>
      </c>
    </row>
    <row r="9" hidden="1" ht="22" customHeight="1">
      <c r="A9" s="88" t="n">
        <v>46235</v>
      </c>
      <c r="B9" s="89" t="n">
        <v>46246</v>
      </c>
      <c r="C9" s="90" t="inlineStr">
        <is>
          <t>Project Task</t>
        </is>
      </c>
      <c r="D9" s="91" t="inlineStr"/>
      <c r="E9" s="90" t="inlineStr"/>
      <c r="F9" s="90" t="inlineStr">
        <is>
          <t>Production support</t>
        </is>
      </c>
      <c r="G9" s="90" t="inlineStr">
        <is>
          <t>Dao Manh Ha</t>
        </is>
      </c>
      <c r="H9" s="90" t="inlineStr">
        <is>
          <t>EAI</t>
        </is>
      </c>
      <c r="I9" s="90" t="inlineStr">
        <is>
          <t>FPT</t>
        </is>
      </c>
      <c r="J9" s="92" t="n">
        <v>8</v>
      </c>
    </row>
    <row r="10" hidden="1" ht="22" customHeight="1">
      <c r="A10" s="88" t="n">
        <v>46235</v>
      </c>
      <c r="B10" s="89" t="n">
        <v>46247</v>
      </c>
      <c r="C10" s="90" t="inlineStr">
        <is>
          <t>Project Task</t>
        </is>
      </c>
      <c r="D10" s="91" t="inlineStr"/>
      <c r="E10" s="90" t="inlineStr"/>
      <c r="F10" s="90" t="inlineStr">
        <is>
          <t>Production support</t>
        </is>
      </c>
      <c r="G10" s="90" t="inlineStr">
        <is>
          <t>Dao Manh Ha</t>
        </is>
      </c>
      <c r="H10" s="90" t="inlineStr">
        <is>
          <t>EAI</t>
        </is>
      </c>
      <c r="I10" s="90" t="inlineStr">
        <is>
          <t>FPT</t>
        </is>
      </c>
      <c r="J10" s="92" t="n">
        <v>8</v>
      </c>
    </row>
    <row r="11" hidden="1" ht="22" customHeight="1">
      <c r="A11" s="88" t="n">
        <v>46235</v>
      </c>
      <c r="B11" s="89" t="n">
        <v>46248</v>
      </c>
      <c r="C11" s="90" t="inlineStr">
        <is>
          <t>Project Task</t>
        </is>
      </c>
      <c r="D11" s="91" t="inlineStr"/>
      <c r="E11" s="90" t="inlineStr"/>
      <c r="F11" s="90" t="inlineStr">
        <is>
          <t>Production support</t>
        </is>
      </c>
      <c r="G11" s="90" t="inlineStr">
        <is>
          <t>Dao Manh Ha</t>
        </is>
      </c>
      <c r="H11" s="90" t="inlineStr">
        <is>
          <t>EAI</t>
        </is>
      </c>
      <c r="I11" s="90" t="inlineStr">
        <is>
          <t>FPT</t>
        </is>
      </c>
      <c r="J11" s="92" t="n">
        <v>8</v>
      </c>
    </row>
    <row r="12" hidden="1" ht="22" customHeight="1">
      <c r="A12" s="88" t="n">
        <v>46235</v>
      </c>
      <c r="B12" s="89" t="n">
        <v>46251</v>
      </c>
      <c r="C12" s="90" t="inlineStr">
        <is>
          <t>Project Task</t>
        </is>
      </c>
      <c r="D12" s="91" t="inlineStr"/>
      <c r="E12" s="90" t="inlineStr"/>
      <c r="F12" s="90" t="inlineStr">
        <is>
          <t>Production support</t>
        </is>
      </c>
      <c r="G12" s="90" t="inlineStr">
        <is>
          <t>Dao Manh Ha</t>
        </is>
      </c>
      <c r="H12" s="90" t="inlineStr">
        <is>
          <t>EAI</t>
        </is>
      </c>
      <c r="I12" s="90" t="inlineStr">
        <is>
          <t>FPT</t>
        </is>
      </c>
      <c r="J12" s="92" t="n">
        <v>8</v>
      </c>
    </row>
    <row r="13" hidden="1" ht="22" customHeight="1">
      <c r="A13" s="88" t="n">
        <v>46235</v>
      </c>
      <c r="B13" s="89" t="n">
        <v>46252</v>
      </c>
      <c r="C13" s="90" t="inlineStr">
        <is>
          <t>Project Task</t>
        </is>
      </c>
      <c r="D13" s="91" t="inlineStr"/>
      <c r="E13" s="90" t="inlineStr"/>
      <c r="F13" s="90" t="inlineStr">
        <is>
          <t>Production support</t>
        </is>
      </c>
      <c r="G13" s="90" t="inlineStr">
        <is>
          <t>Dao Manh Ha</t>
        </is>
      </c>
      <c r="H13" s="90" t="inlineStr">
        <is>
          <t>EAI</t>
        </is>
      </c>
      <c r="I13" s="90" t="inlineStr">
        <is>
          <t>FPT</t>
        </is>
      </c>
      <c r="J13" s="92" t="n">
        <v>8</v>
      </c>
    </row>
    <row r="14" hidden="1" ht="22" customHeight="1">
      <c r="A14" s="88" t="n">
        <v>46235</v>
      </c>
      <c r="B14" s="89" t="n">
        <v>46253</v>
      </c>
      <c r="C14" s="90" t="inlineStr">
        <is>
          <t>Project Task</t>
        </is>
      </c>
      <c r="D14" s="91" t="inlineStr"/>
      <c r="E14" s="90" t="inlineStr"/>
      <c r="F14" s="90" t="inlineStr">
        <is>
          <t>Production support</t>
        </is>
      </c>
      <c r="G14" s="90" t="inlineStr">
        <is>
          <t>Dao Manh Ha</t>
        </is>
      </c>
      <c r="H14" s="90" t="inlineStr">
        <is>
          <t>EAI</t>
        </is>
      </c>
      <c r="I14" s="90" t="inlineStr">
        <is>
          <t>FPT</t>
        </is>
      </c>
      <c r="J14" s="92" t="n">
        <v>8</v>
      </c>
    </row>
    <row r="15" hidden="1" ht="22" customHeight="1">
      <c r="A15" s="88" t="n">
        <v>46235</v>
      </c>
      <c r="B15" s="89" t="n">
        <v>46254</v>
      </c>
      <c r="C15" s="90" t="inlineStr">
        <is>
          <t>Project Task</t>
        </is>
      </c>
      <c r="D15" s="91" t="inlineStr"/>
      <c r="E15" s="90" t="inlineStr"/>
      <c r="F15" s="90" t="inlineStr">
        <is>
          <t>Production support</t>
        </is>
      </c>
      <c r="G15" s="90" t="inlineStr">
        <is>
          <t>Dao Manh Ha</t>
        </is>
      </c>
      <c r="H15" s="90" t="inlineStr">
        <is>
          <t>EAI</t>
        </is>
      </c>
      <c r="I15" s="90" t="inlineStr">
        <is>
          <t>FPT</t>
        </is>
      </c>
      <c r="J15" s="92" t="n">
        <v>8</v>
      </c>
    </row>
    <row r="16" hidden="1" ht="22" customHeight="1">
      <c r="A16" s="88" t="n">
        <v>46235</v>
      </c>
      <c r="B16" s="89" t="n">
        <v>46255</v>
      </c>
      <c r="C16" s="90" t="inlineStr">
        <is>
          <t>Project Task</t>
        </is>
      </c>
      <c r="D16" s="91" t="inlineStr"/>
      <c r="E16" s="90" t="inlineStr"/>
      <c r="F16" s="90" t="inlineStr">
        <is>
          <t>Production support</t>
        </is>
      </c>
      <c r="G16" s="90" t="inlineStr">
        <is>
          <t>Dao Manh Ha</t>
        </is>
      </c>
      <c r="H16" s="90" t="inlineStr">
        <is>
          <t>EAI</t>
        </is>
      </c>
      <c r="I16" s="90" t="inlineStr">
        <is>
          <t>FPT</t>
        </is>
      </c>
      <c r="J16" s="92" t="n">
        <v>8</v>
      </c>
    </row>
    <row r="17" hidden="1" ht="22" customHeight="1">
      <c r="A17" s="88" t="n">
        <v>46235</v>
      </c>
      <c r="B17" s="89" t="n">
        <v>46258</v>
      </c>
      <c r="C17" s="90" t="inlineStr">
        <is>
          <t>Project Task</t>
        </is>
      </c>
      <c r="D17" s="91" t="inlineStr"/>
      <c r="E17" s="90" t="inlineStr"/>
      <c r="F17" s="90" t="inlineStr">
        <is>
          <t>Production support</t>
        </is>
      </c>
      <c r="G17" s="90" t="inlineStr">
        <is>
          <t>Dao Manh Ha</t>
        </is>
      </c>
      <c r="H17" s="90" t="inlineStr">
        <is>
          <t>EAI</t>
        </is>
      </c>
      <c r="I17" s="90" t="inlineStr">
        <is>
          <t>FPT</t>
        </is>
      </c>
      <c r="J17" s="92" t="n">
        <v>8</v>
      </c>
    </row>
    <row r="18" hidden="1" ht="22" customHeight="1">
      <c r="A18" s="88" t="n">
        <v>46235</v>
      </c>
      <c r="B18" s="89" t="n">
        <v>46259</v>
      </c>
      <c r="C18" s="90" t="inlineStr">
        <is>
          <t>Project Task</t>
        </is>
      </c>
      <c r="D18" s="91" t="inlineStr"/>
      <c r="E18" s="90" t="inlineStr"/>
      <c r="F18" s="90" t="inlineStr">
        <is>
          <t>Production support</t>
        </is>
      </c>
      <c r="G18" s="90" t="inlineStr">
        <is>
          <t>Dao Manh Ha</t>
        </is>
      </c>
      <c r="H18" s="90" t="inlineStr">
        <is>
          <t>EAI</t>
        </is>
      </c>
      <c r="I18" s="90" t="inlineStr">
        <is>
          <t>FPT</t>
        </is>
      </c>
      <c r="J18" s="92" t="n">
        <v>8</v>
      </c>
    </row>
    <row r="19" hidden="1" ht="22" customHeight="1">
      <c r="A19" s="88" t="n">
        <v>46235</v>
      </c>
      <c r="B19" s="89" t="n">
        <v>46260</v>
      </c>
      <c r="C19" s="90" t="inlineStr">
        <is>
          <t>Project Task</t>
        </is>
      </c>
      <c r="D19" s="91" t="inlineStr"/>
      <c r="E19" s="90" t="inlineStr"/>
      <c r="F19" s="90" t="inlineStr">
        <is>
          <t>Production support</t>
        </is>
      </c>
      <c r="G19" s="90" t="inlineStr">
        <is>
          <t>Dao Manh Ha</t>
        </is>
      </c>
      <c r="H19" s="90" t="inlineStr">
        <is>
          <t>EAI</t>
        </is>
      </c>
      <c r="I19" s="90" t="inlineStr">
        <is>
          <t>FPT</t>
        </is>
      </c>
      <c r="J19" s="92" t="n">
        <v>8</v>
      </c>
    </row>
    <row r="20" hidden="1" ht="22" customFormat="1" customHeight="1" s="19">
      <c r="A20" s="88" t="n">
        <v>46235</v>
      </c>
      <c r="B20" s="89" t="n">
        <v>46261</v>
      </c>
      <c r="C20" s="90" t="inlineStr">
        <is>
          <t>Project Task</t>
        </is>
      </c>
      <c r="D20" s="91" t="inlineStr"/>
      <c r="E20" s="90" t="inlineStr"/>
      <c r="F20" s="90" t="inlineStr">
        <is>
          <t>Production support</t>
        </is>
      </c>
      <c r="G20" s="90" t="inlineStr">
        <is>
          <t>Dao Manh Ha</t>
        </is>
      </c>
      <c r="H20" s="90" t="inlineStr">
        <is>
          <t>EAI</t>
        </is>
      </c>
      <c r="I20" s="90" t="inlineStr">
        <is>
          <t>FPT</t>
        </is>
      </c>
      <c r="J20" s="92" t="n">
        <v>8</v>
      </c>
    </row>
    <row r="21" hidden="1" ht="22" customHeight="1">
      <c r="A21" s="88" t="n">
        <v>46235</v>
      </c>
      <c r="B21" s="89" t="n">
        <v>46262</v>
      </c>
      <c r="C21" s="90" t="inlineStr">
        <is>
          <t>Project Task</t>
        </is>
      </c>
      <c r="D21" s="91" t="inlineStr"/>
      <c r="E21" s="90" t="inlineStr"/>
      <c r="F21" s="90" t="inlineStr">
        <is>
          <t>Production support</t>
        </is>
      </c>
      <c r="G21" s="90" t="inlineStr">
        <is>
          <t>Dao Manh Ha</t>
        </is>
      </c>
      <c r="H21" s="90" t="inlineStr">
        <is>
          <t>EAI</t>
        </is>
      </c>
      <c r="I21" s="90" t="inlineStr">
        <is>
          <t>FPT</t>
        </is>
      </c>
      <c r="J21" s="92" t="n">
        <v>8</v>
      </c>
    </row>
    <row r="22" hidden="1" ht="22" customHeight="1">
      <c r="A22" s="88" t="n">
        <v>46235</v>
      </c>
      <c r="B22" s="89" t="n">
        <v>46265</v>
      </c>
      <c r="C22" s="90" t="inlineStr">
        <is>
          <t>Project Task</t>
        </is>
      </c>
      <c r="D22" s="91" t="inlineStr"/>
      <c r="E22" s="90" t="inlineStr"/>
      <c r="F22" s="90" t="inlineStr">
        <is>
          <t>Production support</t>
        </is>
      </c>
      <c r="G22" s="90" t="inlineStr">
        <is>
          <t>Dao Manh Ha</t>
        </is>
      </c>
      <c r="H22" s="90" t="inlineStr">
        <is>
          <t>EAI</t>
        </is>
      </c>
      <c r="I22" s="90" t="inlineStr">
        <is>
          <t>FPT</t>
        </is>
      </c>
      <c r="J22" s="92" t="n">
        <v>8</v>
      </c>
    </row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 ht="30" customHeight="1"/>
    <row r="48" hidden="1" ht="30" customHeight="1"/>
    <row r="49" hidden="1" ht="45" customHeight="1"/>
    <row r="50" hidden="1" ht="30" customHeight="1"/>
    <row r="51" hidden="1" ht="30" customHeight="1"/>
    <row r="52" hidden="1"/>
    <row r="53" hidden="1" ht="45" customHeight="1"/>
    <row r="54" hidden="1" ht="30" customHeight="1"/>
    <row r="55" hidden="1"/>
    <row r="56" hidden="1"/>
    <row r="57" hidden="1"/>
    <row r="58" hidden="1"/>
    <row r="59" hidden="1"/>
    <row r="60" hidden="1" ht="60" customHeight="1"/>
    <row r="61" hidden="1" ht="30" customHeight="1"/>
    <row r="62" hidden="1"/>
    <row r="63" hidden="1"/>
    <row r="64" hidden="1"/>
    <row r="65" hidden="1" ht="45" customHeight="1"/>
    <row r="66" hidden="1" ht="45" customHeight="1"/>
    <row r="67" hidden="1"/>
    <row r="68" hidden="1"/>
    <row r="69" hidden="1" ht="31.5" customHeight="1"/>
    <row r="70" hidden="1"/>
    <row r="71" hidden="1" ht="31.5" customHeight="1"/>
    <row r="72" hidden="1" ht="31.5" customHeight="1"/>
    <row r="73" hidden="1" ht="31.5" customHeight="1"/>
    <row r="74" hidden="1" ht="31.5" customHeight="1"/>
    <row r="75" hidden="1"/>
    <row r="76" hidden="1"/>
    <row r="77" hidden="1"/>
    <row r="78" hidden="1"/>
    <row r="79" hidden="1"/>
    <row r="80" hidden="1" ht="30" customHeight="1"/>
    <row r="81" hidden="1" ht="30" customHeight="1"/>
    <row r="82" hidden="1" ht="31.5" customHeight="1"/>
    <row r="83" hidden="1"/>
    <row r="84" hidden="1"/>
    <row r="85" hidden="1"/>
    <row r="86" hidden="1"/>
    <row r="87" hidden="1"/>
    <row r="88" hidden="1"/>
    <row r="89" hidden="1" ht="30" customHeight="1"/>
    <row r="90" hidden="1"/>
    <row r="91" hidden="1" ht="31.5" customHeight="1"/>
    <row r="92" hidden="1"/>
    <row r="93" hidden="1" ht="31.5" customHeight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</sheetData>
  <autoFilter ref="A1:J147">
    <filterColumn colId="6" hiddenButton="0" showButton="1">
      <filters>
        <filter val="Mary Anne Fabia"/>
      </filters>
    </filterColumn>
  </autoFilter>
  <conditionalFormatting sqref="A1:J1">
    <cfRule type="expression" priority="552" dxfId="1">
      <formula>OR($C1="Public Holiday",$C1="Weekday support",$C1="Weekend support",$C1="PH Support")</formula>
    </cfRule>
    <cfRule type="expression" priority="553" dxfId="0">
      <formula>($C1="Leave")</formula>
    </cfRule>
  </conditionalFormatting>
  <conditionalFormatting sqref="A2:J22">
    <cfRule type="expression" priority="3" dxfId="2" stopIfTrue="0">
      <formula>OR($C2="Weekday support", $C2="Weekend support", $C2="PH Support", $C2="Public Holiday")</formula>
    </cfRule>
    <cfRule type="expression" priority="4" dxfId="3" stopIfTrue="0">
      <formula>$C2="Leave"</formula>
    </cfRule>
  </conditionalFormatting>
  <dataValidations count="4">
    <dataValidation sqref="C104:D104 C122:D122 D1:E3 D5:E5 D7:E16 D20:D46 D64 D67:D79 D80:E89 D90 D91:E100 D101:D103 D105:D121 D123:D147 D148:F1048576 E20:E47 E49 E51:E60 E64:E78 E102:E124 E126:E130 E132:E144 E146 F1:F104 F122" showDropDown="0" showInputMessage="1" showErrorMessage="1" allowBlank="1"/>
    <dataValidation sqref="C2:C5 C20 C23:C49 C64 C79 C90 C101 C125 C145 C148:C1048576 E79 E90 E101" showDropDown="0" showInputMessage="1" showErrorMessage="1" allowBlank="1" type="list">
      <formula1>"Project Task,Weekend support,Weekday support,Miscellaneous,Leave,Public Holiday,PH Support"</formula1>
    </dataValidation>
    <dataValidation sqref="G104:G124" showDropDown="0" showInputMessage="1" showErrorMessage="1" allowBlank="1" promptTitle="Tran Quoc Tai"/>
    <dataValidation sqref="C2:C2000" showDropDown="0" showInputMessage="0" showErrorMessage="0" allowBlank="1" type="list">
      <formula1>"Project Task,Weekend support,Weekday support,Leave,Public Holiday,PH Support"</formula1>
    </dataValidation>
  </dataValidations>
  <pageMargins left="0.7" right="0.7" top="0.75" bottom="0.75" header="0.3" footer="0.3"/>
  <pageSetup orientation="portrait" scale="6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tabSelected="1" workbookViewId="0">
      <selection activeCell="E4" sqref="E4:E6"/>
    </sheetView>
  </sheetViews>
  <sheetFormatPr baseColWidth="8" defaultColWidth="11" defaultRowHeight="15.75" customHeight="1"/>
  <cols>
    <col width="8" customWidth="1" min="1" max="1"/>
    <col width="24" customWidth="1" min="2" max="2"/>
    <col width="16" customWidth="1" min="3" max="3"/>
    <col width="16" customWidth="1" min="4" max="4"/>
    <col width="14" customWidth="1" min="5" max="5"/>
    <col width="22" customWidth="1" min="6" max="6"/>
    <col width="20" customWidth="1" min="7" max="8"/>
    <col width="20" customWidth="1" min="8" max="8"/>
    <col width="20" customWidth="1" min="9" max="9"/>
    <col width="20" customWidth="1" min="10" max="11"/>
    <col width="16" customWidth="1" min="11" max="11"/>
  </cols>
  <sheetData>
    <row r="1" ht="28" customHeight="1">
      <c r="A1" s="98" t="inlineStr">
        <is>
          <t>No</t>
        </is>
      </c>
      <c r="B1" s="98" t="inlineStr">
        <is>
          <t>Name</t>
        </is>
      </c>
      <c r="C1" s="98" t="inlineStr">
        <is>
          <t>Team</t>
        </is>
      </c>
      <c r="D1" s="98" t="inlineStr">
        <is>
          <t>Location</t>
        </is>
      </c>
      <c r="E1" s="98" t="inlineStr">
        <is>
          <t>Working days (days)</t>
        </is>
      </c>
      <c r="F1" s="98" t="inlineStr">
        <is>
          <t>Weekend OT (days)</t>
        </is>
      </c>
      <c r="G1" s="98" t="inlineStr">
        <is>
          <t>Weekday OT (days)</t>
        </is>
      </c>
      <c r="H1" s="98" t="inlineStr">
        <is>
          <t>PH OT (days)</t>
        </is>
      </c>
      <c r="I1" s="99" t="inlineStr">
        <is>
          <t>Total OT (days)</t>
        </is>
      </c>
      <c r="J1" s="98" t="inlineStr">
        <is>
          <t>Leaves
(days)</t>
        </is>
      </c>
      <c r="K1" s="98" t="inlineStr">
        <is>
          <t>Public Holiday (days)</t>
        </is>
      </c>
    </row>
    <row r="2" ht="22" customHeight="1">
      <c r="A2" s="100">
        <f>ROW()-1</f>
        <v/>
      </c>
      <c r="B2" s="101" t="inlineStr">
        <is>
          <t>Dao Manh Ha</t>
        </is>
      </c>
      <c r="C2" s="101" t="inlineStr">
        <is>
          <t>EAI</t>
        </is>
      </c>
      <c r="D2" s="101" t="inlineStr">
        <is>
          <t>Onsite</t>
        </is>
      </c>
      <c r="E2" s="101">
        <f>SUMIFS(Timesheet!J:J,Timesheet!G:G,Summary!B2)/8</f>
        <v/>
      </c>
      <c r="F2" s="100">
        <f>SUMIFS(Timesheet!J:J,Timesheet!G:G,Summary!B2,Timesheet!C:C,"Weekend support")/8</f>
        <v/>
      </c>
      <c r="G2" s="100">
        <f>SUMIFS(Timesheet!J:J,Timesheet!G:G,Summary!B2,Timesheet!C:C,"Weekday support")/8</f>
        <v/>
      </c>
      <c r="H2" s="100">
        <f>SUMIFS(Timesheet!J:J,Timesheet!G:G,Summary!B2,Timesheet!C:C,"PH Support")/8</f>
        <v/>
      </c>
      <c r="I2" s="100">
        <f>SUM(F2:H2)</f>
        <v/>
      </c>
      <c r="J2" s="100">
        <f>COUNTIFS(Timesheet!G:G,Summary!B2,Timesheet!C:C,"Leave")</f>
        <v/>
      </c>
      <c r="K2" s="100">
        <f>COUNTIFS(Timesheet!G:G,Summary!B2,Timesheet!C:C,"Public Holiday")</f>
        <v/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</sheetData>
  <autoFilter ref="A1:K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B8" sqref="B8"/>
    </sheetView>
  </sheetViews>
  <sheetFormatPr baseColWidth="8" defaultColWidth="11" defaultRowHeight="15.75" customHeight="1"/>
  <cols>
    <col width="8" customWidth="1" style="2" min="1" max="1"/>
    <col width="24" customWidth="1" style="2" min="2" max="2"/>
    <col width="16" customWidth="1" style="2" min="3" max="3"/>
    <col width="16" customWidth="1" style="2" min="4" max="5"/>
    <col width="14" customWidth="1" min="5" max="5"/>
    <col width="22" customWidth="1" style="2" min="6" max="6"/>
    <col width="26" customWidth="1" style="2" min="7" max="7"/>
    <col width="18" customWidth="1" style="2" min="8" max="8"/>
    <col width="18" customWidth="1" style="2" min="9" max="9"/>
  </cols>
  <sheetData>
    <row r="1" ht="28" customHeight="1">
      <c r="A1" s="98" t="inlineStr">
        <is>
          <t>No</t>
        </is>
      </c>
      <c r="B1" s="98" t="inlineStr">
        <is>
          <t>Name</t>
        </is>
      </c>
      <c r="C1" s="98" t="inlineStr">
        <is>
          <t>Team</t>
        </is>
      </c>
      <c r="D1" s="98" t="inlineStr">
        <is>
          <t>Location</t>
        </is>
      </c>
      <c r="E1" s="102" t="inlineStr">
        <is>
          <t>Total Leave in 2026</t>
        </is>
      </c>
      <c r="F1" s="103" t="inlineStr">
        <is>
          <t>Leave Balance upto Jul 26</t>
        </is>
      </c>
      <c r="G1" s="104" t="n">
        <v>46235</v>
      </c>
      <c r="H1" s="105" t="n"/>
      <c r="I1" s="104" t="inlineStr">
        <is>
          <t>Leave Balance in Aug-26 (days)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</row>
    <row r="2" ht="22" customHeight="1">
      <c r="A2" s="105" t="n"/>
      <c r="B2" s="105" t="n"/>
      <c r="C2" s="105" t="n"/>
      <c r="D2" s="105" t="n"/>
      <c r="E2" s="105" t="n"/>
      <c r="F2" s="105" t="n"/>
      <c r="G2" s="104" t="inlineStr">
        <is>
          <t>Days off in lieu</t>
        </is>
      </c>
      <c r="H2" s="104" t="inlineStr">
        <is>
          <t>Annual Leave</t>
        </is>
      </c>
      <c r="I2" s="105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</row>
    <row r="3" ht="22" customFormat="1" customHeight="1" s="1">
      <c r="A3" s="100">
        <f>ROW()-2</f>
        <v/>
      </c>
      <c r="B3" s="101" t="inlineStr">
        <is>
          <t>Dao Manh Ha</t>
        </is>
      </c>
      <c r="C3" s="101" t="inlineStr">
        <is>
          <t>EAI</t>
        </is>
      </c>
      <c r="D3" s="101" t="inlineStr">
        <is>
          <t>Onsite</t>
        </is>
      </c>
      <c r="E3" s="101" t="n">
        <v>14</v>
      </c>
      <c r="F3" s="106" t="n">
        <v>12</v>
      </c>
      <c r="G3" s="106">
        <f>Summary!I2</f>
        <v/>
      </c>
      <c r="H3" s="100">
        <f>Summary!J2</f>
        <v/>
      </c>
      <c r="I3" s="100">
        <f>F3-MAX(H3-G3,0)</f>
        <v/>
      </c>
    </row>
    <row r="4" ht="15.75" customFormat="1" customHeight="1" s="1"/>
    <row r="5" ht="15.75" customFormat="1" customHeight="1" s="1"/>
    <row r="6" ht="15.75" customFormat="1" customHeight="1" s="1"/>
    <row r="7" ht="15.75" customFormat="1" customHeight="1" s="1"/>
    <row r="8" ht="15.75" customFormat="1" customHeight="1" s="1"/>
    <row r="9" ht="15.75" customFormat="1" customHeight="1" s="1"/>
    <row r="10" ht="15.75" customFormat="1" customHeight="1" s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8">
    <mergeCell ref="G1:H1"/>
    <mergeCell ref="C1:C2"/>
    <mergeCell ref="B1:B2"/>
    <mergeCell ref="D1:D2"/>
    <mergeCell ref="E1:E2"/>
    <mergeCell ref="F1:F2"/>
    <mergeCell ref="I1:I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2023-02-16T16:53:00Z</dcterms:created>
  <dcterms:modified xmlns:dcterms="http://purl.org/dc/terms/" xmlns:xsi="http://www.w3.org/2001/XMLSchema-instance" xsi:type="dcterms:W3CDTF">2026-08-03T02:58:21Z</dcterms:modified>
  <cp:lastModifiedBy>Chau Nguyen Ngoc Bao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83FF08D0B40743C99C1C7EB6265FA305_12</vt:lpwstr>
  </property>
  <property name="KSOProductBuildVer" fmtid="{D5CDD505-2E9C-101B-9397-08002B2CF9AE}" pid="3">
    <vt:lpwstr xmlns:vt="http://schemas.openxmlformats.org/officeDocument/2006/docPropsVTypes">1033-12.2.0.21546</vt:lpwstr>
  </property>
  <property name="ContentTypeId" fmtid="{D5CDD505-2E9C-101B-9397-08002B2CF9AE}" pid="4">
    <vt:lpwstr xmlns:vt="http://schemas.openxmlformats.org/officeDocument/2006/docPropsVTypes">0x01010090524C9284A2CE4A9792EBE19BE4431D</vt:lpwstr>
  </property>
  <property name="MediaServiceImageTags" fmtid="{D5CDD505-2E9C-101B-9397-08002B2CF9AE}" pid="5">
    <vt:lpwstr xmlns:vt="http://schemas.openxmlformats.org/officeDocument/2006/docPropsVTypes"/>
  </property>
</Properties>
</file>