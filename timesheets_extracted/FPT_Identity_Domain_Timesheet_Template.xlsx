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lance Leave" sheetId="2" state="visible" r:id="rId2"/>
    <sheet xmlns:r="http://schemas.openxmlformats.org/officeDocument/2006/relationships" name="Timesheet"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No</t>
        </is>
      </c>
      <c r="B1" t="inlineStr">
        <is>
          <t>Name</t>
        </is>
      </c>
      <c r="C1" t="inlineStr">
        <is>
          <t>Team</t>
        </is>
      </c>
      <c r="D1" t="inlineStr">
        <is>
          <t>Lead</t>
        </is>
      </c>
      <c r="E1" t="inlineStr">
        <is>
          <t>Location</t>
        </is>
      </c>
      <c r="F1" t="inlineStr">
        <is>
          <t>Monthly working days</t>
        </is>
      </c>
      <c r="G1" t="inlineStr">
        <is>
          <t>Working days (days)</t>
        </is>
      </c>
      <c r="H1" t="inlineStr">
        <is>
          <t>Weekend OT (days)</t>
        </is>
      </c>
      <c r="I1" t="inlineStr">
        <is>
          <t>Weekday OT (days)</t>
        </is>
      </c>
      <c r="J1" t="inlineStr">
        <is>
          <t>PH Support (days)</t>
        </is>
      </c>
      <c r="K1" t="inlineStr">
        <is>
          <t xml:space="preserve">Total OT </t>
        </is>
      </c>
      <c r="L1" t="inlineStr">
        <is>
          <t>Leaves</t>
        </is>
      </c>
    </row>
    <row r="2">
      <c r="A2">
        <f>ROW()-1</f>
        <v/>
      </c>
      <c r="B2" t="inlineStr">
        <is>
          <t>Pham Minh Chau</t>
        </is>
      </c>
      <c r="C2" t="inlineStr">
        <is>
          <t>AMS</t>
        </is>
      </c>
      <c r="D2" t="inlineStr">
        <is>
          <t>Teng Hin</t>
        </is>
      </c>
      <c r="E2" t="inlineStr">
        <is>
          <t>Offshore</t>
        </is>
      </c>
      <c r="F2">
        <f>SUMIFS(Timesheet!J:J,Timesheet!G:G,Summary!B2)/8</f>
        <v/>
      </c>
      <c r="G2">
        <f>SUMIFS(Timesheet!J:J,Timesheet!G:G,Summary!B2)/8</f>
        <v/>
      </c>
      <c r="H2">
        <f>SUMIFS(Timesheet!J:J,Timesheet!G:G,Summary!B2,Timesheet!C:C,"Weekend support")/8</f>
        <v/>
      </c>
      <c r="I2">
        <f>SUMIFS(Timesheet!J:J,Timesheet!G:G,Summary!B2,Timesheet!C:C,"Weekday support")/8</f>
        <v/>
      </c>
      <c r="J2">
        <f>SUMIFS(Timesheet!J:J,Timesheet!G:G,Summary!B2,Timesheet!C:C,"PH Support")/8</f>
        <v/>
      </c>
      <c r="K2">
        <f>SUM(H2:J2)</f>
        <v/>
      </c>
      <c r="L2">
        <f>COUNTIFS(Timesheet!G:G,Summary!B2,Timesheet!C:C,"Leave")</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No</t>
        </is>
      </c>
      <c r="B1" t="inlineStr">
        <is>
          <t>Name</t>
        </is>
      </c>
      <c r="C1" t="inlineStr">
        <is>
          <t>Team</t>
        </is>
      </c>
      <c r="D1" t="inlineStr">
        <is>
          <t>Lead</t>
        </is>
      </c>
      <c r="E1" t="inlineStr">
        <is>
          <t>Location</t>
        </is>
      </c>
      <c r="F1" t="inlineStr">
        <is>
          <t>Total Leave in 2026</t>
        </is>
      </c>
      <c r="G1" t="inlineStr">
        <is>
          <t>Leave Balance upto Apr 26</t>
        </is>
      </c>
      <c r="H1" s="1" t="n">
        <v>46143</v>
      </c>
      <c r="J1" t="inlineStr">
        <is>
          <t>Leave Balance in May-26 (days)</t>
        </is>
      </c>
    </row>
    <row r="2">
      <c r="H2" t="inlineStr">
        <is>
          <t>Days off in lieu</t>
        </is>
      </c>
      <c r="I2" t="inlineStr">
        <is>
          <t>Annual Leave</t>
        </is>
      </c>
    </row>
    <row r="3">
      <c r="A3">
        <f>ROW()-2</f>
        <v/>
      </c>
      <c r="B3" t="inlineStr">
        <is>
          <t>Pham Minh Chau</t>
        </is>
      </c>
      <c r="C3" t="inlineStr">
        <is>
          <t>AMS</t>
        </is>
      </c>
      <c r="D3" t="inlineStr">
        <is>
          <t>Teng Hin</t>
        </is>
      </c>
      <c r="E3" t="inlineStr">
        <is>
          <t>Offshore</t>
        </is>
      </c>
      <c r="F3" t="n">
        <v>14</v>
      </c>
      <c r="G3" t="n">
        <v>11</v>
      </c>
      <c r="H3">
        <f>Summary!K2</f>
        <v/>
      </c>
      <c r="I3">
        <f>Summary!L2</f>
        <v/>
      </c>
      <c r="J3">
        <f>G3-MAX(I3-H3,0)</f>
        <v/>
      </c>
    </row>
    <row r="4">
      <c r="C4" t="inlineStr">
        <is>
          <t>Supplementary annual leave. SH lead has been informed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Month</t>
        </is>
      </c>
      <c r="B1" t="inlineStr">
        <is>
          <t>Date</t>
        </is>
      </c>
      <c r="C1" t="inlineStr">
        <is>
          <t>Work Item Type</t>
        </is>
      </c>
      <c r="D1" t="inlineStr">
        <is>
          <t>Surf Request Id/ Project Id</t>
        </is>
      </c>
      <c r="E1" t="inlineStr">
        <is>
          <t>Project Name</t>
        </is>
      </c>
      <c r="F1" t="inlineStr">
        <is>
          <t>Task (Optional)</t>
        </is>
      </c>
      <c r="G1" t="inlineStr">
        <is>
          <t>Resource</t>
        </is>
      </c>
      <c r="H1" t="inlineStr">
        <is>
          <t>Team</t>
        </is>
      </c>
      <c r="I1" t="inlineStr">
        <is>
          <t>Vendor Name</t>
        </is>
      </c>
      <c r="J1" t="inlineStr">
        <is>
          <t>Actual Time (hour)</t>
        </is>
      </c>
    </row>
    <row r="2">
      <c r="A2" s="1" t="n">
        <v>46143</v>
      </c>
      <c r="B2" s="1" t="n">
        <v>46143</v>
      </c>
      <c r="C2" t="inlineStr">
        <is>
          <t>Public Holiday</t>
        </is>
      </c>
      <c r="D2" t="inlineStr">
        <is>
          <t>Public Holiday</t>
        </is>
      </c>
      <c r="F2" t="inlineStr">
        <is>
          <t>Production support</t>
        </is>
      </c>
      <c r="G2" t="inlineStr">
        <is>
          <t>Pham Minh Chau</t>
        </is>
      </c>
      <c r="H2" t="inlineStr">
        <is>
          <t>AMS</t>
        </is>
      </c>
      <c r="I2" t="inlineStr">
        <is>
          <t>FPT</t>
        </is>
      </c>
      <c r="J2" t="n">
        <v>0</v>
      </c>
    </row>
    <row r="3">
      <c r="A3" s="1" t="n">
        <v>46143</v>
      </c>
      <c r="B3" s="1" t="n">
        <v>46146</v>
      </c>
      <c r="C3" t="inlineStr">
        <is>
          <t>Project Task</t>
        </is>
      </c>
      <c r="D3" t="inlineStr">
        <is>
          <t>INC1511777
INC1511650
INC1511571
INC1511366
INC1510304
INC1510238
INC1510119
INC1481847
INC1510132
INC1510454
INC1510482
INC1510550
INC1510583
INC1510585
INC1510587
INC1510623
INC1510754
INC1510833
INC1510894
INC1510960
INC1510968
INC1511005
INC1511029
INC1511063
INC1511073
INC1511304
INC1511343
INC1511417
INC1511420
INC1511429
INC1511515
INC1511526
INC1511551
INC1511892
INC1511957</t>
        </is>
      </c>
      <c r="E3" t="inlineStr">
        <is>
          <t>ESSO | Broadband| Hub iD Deletion in ESSO | Case: #1318864 | eng-ho@hotmail.com 
Need to urgent delete HUB ID
SOCMED CASE#1318668| ESSO | Broadband and TV| Unable to Upgrade Hub iD|Hub iD in Lite Status Created more than 14 days with active TV service
Case ID 1318512 | Delete Hub iD lite | RONNGUN@HOTMAIL.COM
Social Media - Case #1317303 - Unable to Upgrade Hub iD / Hub iD Deletion
INC1505765 Re: INC1478967 Compax and ESSO | Mobile | Hub iD Deletion in ESSO | auszelok@hotmail.com
ESSO | Mobile | Hub iD Deletion in ESSO | Verint CASE 1316715
Delete hub ID |  1-1366015506707
Hub Issue SR: 1-1381689187768
hub id issue SR# 1-1381653427905
My Account | TV/Hub id | Unable to reset password | SR # 1-1381649583763
Hub iD issue | SR no : 1-1381889795473
Unable to upgrade hub ID#1-1380763594730
My Account | Hub iD | Unable to Log In | SR 1-1381948892293
Change of Hub ID issue : SR &lt;1-1381710409861&gt;
 Hub ID email : deadboyh@live.com - link to wrong NRIC 
Unable to found the number  / NAGARAJU HUCHEGOWDA  
My Account | Hub iD | Unable to Upgrade Hub id | SR# 1-1382068206376
Starhub App | Hub iD | Unable to activate Hub iD | SR 1-1382104495396
[Siebel] Unable to Update HUB ID Email - CHIA WEI MING
&lt;URGENT&gt;&gt;P3U - | HUB ID Issue  |  97103196
My Account | Hub iD | Upgrade Hub iD | SR 1-1382156543554
Upgrade Hub id issue (SR#1-1381632490693)
Supernova Error - Prepaid customer - Signing up New 5G plan - Error 
My Account | Hub iD | Unable to upgrade and reset password | SR#1-1382151275005
HubID issue SR  1-1382260871608
unable to change hub id&lt;SR#1-1381911095891&gt;
INC1507164 hub id de-association&lt;SR#1-1374068332922&gt;
Hub ID Issue SR# 1-1382299062135
P3U Hub ID issue
SR NO : 
Hub id issue - Unable to upgrade to hub id main
ESSO hub id change error
Unable to activate Hub ID: SR#1-1382293717422
 Case # 1225764 Reason : ESSO|  Hub ID Deletion in ESSO</t>
        </is>
      </c>
      <c r="F3" t="inlineStr">
        <is>
          <t>Production support</t>
        </is>
      </c>
      <c r="G3" t="inlineStr">
        <is>
          <t>Pham Minh Chau</t>
        </is>
      </c>
      <c r="H3" t="inlineStr">
        <is>
          <t>AMS</t>
        </is>
      </c>
      <c r="I3" t="inlineStr">
        <is>
          <t>FPT</t>
        </is>
      </c>
      <c r="J3" t="n">
        <v>8</v>
      </c>
    </row>
    <row r="4">
      <c r="A4" s="1" t="n">
        <v>46143</v>
      </c>
      <c r="B4" s="1" t="n">
        <v>46147</v>
      </c>
      <c r="C4" t="inlineStr">
        <is>
          <t>Project Task</t>
        </is>
      </c>
      <c r="D4" t="inlineStr">
        <is>
          <t>INC1512810
INC1512787
INC1512814
INC1510623
INC1512883
INC1511515
INC1511526
INC1504745
INC1511073
INC1511366
INC1511343
INC1510968
INC1510585
INC1511417
INC1510584
INC1512966
INC1512992
INC1432911
INC1510960</t>
        </is>
      </c>
      <c r="E4" t="inlineStr">
        <is>
          <t>delete hub id&lt;SR#1-1374068332922&gt;
StarHub app | Mobile | Unable to Link HUB ID  | 92962669
 Social Media / Case#1319729 / Rodelyn Kwek/ Unable to Upgrade Hub ID in Lite Status / Created more than 14 days ago with active broadband service
 Hub ID email : deadboyh@live.com - link to wrong NRIC 
ESSO hub id change error
SR NO : 
Hub id issue - Unable to upgrade to hub id main
ESSO | Mobile | Hub iD Deletion in ESSO | SR 1-1379412846401
My Account | Hub iD | Unable to upgrade and reset password | SR#1-1382151275005
Case ID 1318512 | Delete Hub iD lite | RONNGUN@HOTMAIL.COM
unable to change hub id&lt;SR#1-1381911095891&gt;
&lt;URGENT&gt;&gt;P3U - | HUB ID Issue  |  97103196
My Account | Hub iD | Unable to Log In | SR 1-1381948892293
INC1507164 hub id de-association&lt;SR#1-1374068332922&gt;
Hub id under suspend / Chen Jiahao Clement
 [Supernova – Shop] OTP from Dealers to Customer email unable to generate
INC1482331 || Re: Mobile | Unable to recontract via SH app | SR 1-1366636332620
INC1400080 SocMed | #1180607 | | Delete Hub id Lite  |  SID: 81374744
[Siebel] Unable to Update HUB ID Email - CHIA WEI MING</t>
        </is>
      </c>
      <c r="F4" t="inlineStr">
        <is>
          <t>Production support</t>
        </is>
      </c>
      <c r="G4" t="inlineStr">
        <is>
          <t>Pham Minh Chau</t>
        </is>
      </c>
      <c r="H4" t="inlineStr">
        <is>
          <t>AMS</t>
        </is>
      </c>
      <c r="I4" t="inlineStr">
        <is>
          <t>FPT</t>
        </is>
      </c>
      <c r="J4" t="n">
        <v>8</v>
      </c>
    </row>
    <row r="5">
      <c r="A5" s="1" t="n">
        <v>46143</v>
      </c>
      <c r="B5" s="1" t="n">
        <v>46147</v>
      </c>
      <c r="C5" t="inlineStr">
        <is>
          <t>Weekday support</t>
        </is>
      </c>
      <c r="D5" t="inlineStr">
        <is>
          <t>CHG0051498-5th May-2026, 2:00 am sgt to 6:00 am sgt - ENTID</t>
        </is>
      </c>
      <c r="F5" t="inlineStr">
        <is>
          <t>Production support</t>
        </is>
      </c>
      <c r="G5" t="inlineStr">
        <is>
          <t>Pham Minh Chau</t>
        </is>
      </c>
      <c r="H5" t="inlineStr">
        <is>
          <t>AMS</t>
        </is>
      </c>
      <c r="I5" t="inlineStr">
        <is>
          <t>FPT</t>
        </is>
      </c>
      <c r="J5" t="n">
        <v>4</v>
      </c>
    </row>
    <row r="6">
      <c r="A6" s="1" t="n">
        <v>46143</v>
      </c>
      <c r="B6" s="1" t="n">
        <v>46148</v>
      </c>
      <c r="C6" t="inlineStr">
        <is>
          <t>Project Task</t>
        </is>
      </c>
      <c r="D6" t="inlineStr">
        <is>
          <t>INC1513042
INC1513053
INC1513068
INC1513418
INC1433128
INC1513439
INC1513483
INC1513527
INC1513533
INC1510754
INC1513042
INC1432911
INC1513547
INC1513608
INC1513669
INC1513533</t>
        </is>
      </c>
      <c r="E6" t="inlineStr">
        <is>
          <t xml:space="preserve">Hub iD Deletion | Hub iD: ozjin_921009@hotmail.com | Email: Ref:1701780 
ESSO | Siebel| Hub iD Deletion in ESSO | SR: 1-1380763594730
MSA Unable to upgrade HUB ID | 1-1382577188862
unable to change hub id&lt;TT#85529772&gt;
Delete Hub ID linked to Torpedo Customer
 URGENT - PG Shop – Unable to trigger OTP via Dealer Apps. Loading forever.
06/05 : Failed to Unlock and reset hub id / SR 1-1382681161713
 [ Supernova – Nex ] Dealer App reflecting with error message when customer email was input in DA. Customer was not able to receive email OTP which resulted una
 [Supernova – NEX] Hub ID not able to login &amp; unable revive OTP 
Unable to found the number  / NAGARAJU HUCHEGOWDA  
Hub iD Deletion | Hub iD: ozjin_921009@hotmail.com | Email: Ref:1701780 
INC1400080 SocMed | #1180607 | | Delete Hub id Lite  |  SID: 81374744
MSA | Mobile | Hub iD issue | unable to login in MSA               SR # 1-1382898026087
HUB ID  UNABLE TO LOGIN  SR 1-1382879943222 
Unable to change Hub Id: SR#1-1382557401259
 [Supernova – NEX] Hub ID not able to login &amp; unable revive OTP </t>
        </is>
      </c>
      <c r="F6" t="inlineStr">
        <is>
          <t>Production support</t>
        </is>
      </c>
      <c r="G6" t="inlineStr">
        <is>
          <t>Pham Minh Chau</t>
        </is>
      </c>
      <c r="H6" t="inlineStr">
        <is>
          <t>AMS</t>
        </is>
      </c>
      <c r="I6" t="inlineStr">
        <is>
          <t>FPT</t>
        </is>
      </c>
      <c r="J6" t="n">
        <v>8</v>
      </c>
    </row>
    <row r="7">
      <c r="A7" s="1" t="n">
        <v>46143</v>
      </c>
      <c r="B7" s="1" t="n">
        <v>46149</v>
      </c>
      <c r="C7" t="inlineStr">
        <is>
          <t>Project Task</t>
        </is>
      </c>
      <c r="D7" t="inlineStr">
        <is>
          <t>INC1514182
INC1514164
INC1514158
INC1514151
INC1513738
INC1513483
INC1513424
INC1447470
INC1513777
INC1513752
INC1513729
INC1514252
INC1482176
INC1482708</t>
        </is>
      </c>
      <c r="E7" t="inlineStr">
        <is>
          <t xml:space="preserve">Remove Hub id ongkinting0503@gmail.com / ONG KIN TING / active hub id ongkinting050350@gmail.com
Siebel | SocMed Case ID #1320675 | Hub iD Deletion | selvipandurangan2809@gmail.com | SR 1-1382957221619
Potential complaint | Change Hub ID from abdul_latheef2828@yahoo.com.sg to nisha_777@hotmail.com [SR#: 1-1382945711764]
Potential Complaint | Manager Callback Request [SR#: 1-1382945711764]
SocMed Case #1320646 | ESSO | Mobile | Hub iD lite Deletion in ESSO | gohyitong0925@gmail.com | SR 1-1382976150731
06/05 : Failed to Unlock and reset hub id / SR 1-1382681161713
TT / SR &lt;&lt;1-1382770746224&gt;&gt;
StarHub Prepaid Plan - Case #1232403 - Delete Hub iD - CID 1452773 
unable to receive OTP for recontract through Dealer app ( 90662696)  
unable to login to dealer app ( taiguong.ling@starhub.com )
[Supernova – Shop] Dealer unable to send otp to customer document ID #S1665127C
 [Supernova – Shop] OTP from Dealers to Customer email unable to generate
Unable to upgrade HUB ID / un able to view bill in MSA
StarHub app | Mobile | Unable to see Bill on Apps account| </t>
        </is>
      </c>
      <c r="F7" t="inlineStr">
        <is>
          <t>Production support</t>
        </is>
      </c>
      <c r="G7" t="inlineStr">
        <is>
          <t>Pham Minh Chau</t>
        </is>
      </c>
      <c r="H7" t="inlineStr">
        <is>
          <t>AMS</t>
        </is>
      </c>
      <c r="I7" t="inlineStr">
        <is>
          <t>FPT</t>
        </is>
      </c>
      <c r="J7" t="n">
        <v>8</v>
      </c>
    </row>
    <row r="8">
      <c r="A8" s="1" t="n">
        <v>46143</v>
      </c>
      <c r="B8" s="1" t="n">
        <v>46149</v>
      </c>
      <c r="C8" t="inlineStr">
        <is>
          <t>Weekday support</t>
        </is>
      </c>
      <c r="D8" t="inlineStr">
        <is>
          <t>CHG0051468 - AMA migration - MGN agent installation</t>
        </is>
      </c>
      <c r="F8" t="inlineStr">
        <is>
          <t>Production support</t>
        </is>
      </c>
      <c r="G8" t="inlineStr">
        <is>
          <t>Pham Minh Chau</t>
        </is>
      </c>
      <c r="H8" t="inlineStr">
        <is>
          <t>AMS</t>
        </is>
      </c>
      <c r="I8" t="inlineStr">
        <is>
          <t>FPT</t>
        </is>
      </c>
      <c r="J8" t="n">
        <v>6</v>
      </c>
    </row>
    <row r="9">
      <c r="A9" s="1" t="n">
        <v>46143</v>
      </c>
      <c r="B9" s="1" t="n">
        <v>46150</v>
      </c>
      <c r="C9" t="inlineStr">
        <is>
          <t>Project Task</t>
        </is>
      </c>
      <c r="D9" t="inlineStr">
        <is>
          <t>INC1514335
INC1514427
INC1514649
INC1438546
INC1514430
INC1433128
INC1514182
INC1514335
INC1513583
INC1514754
INC1514809
INC1514845</t>
        </is>
      </c>
      <c r="E9" t="inlineStr">
        <is>
          <t xml:space="preserve">  Social Media | Case #1321777 | Martin | ESSO | Mobile | Hub iD Deletion in ESSO
Hub iD issue | SR no :
UNABLE TO RESET HUB ID PASSWORD
Application | Mobile | Hub iD Login Issue | SR 1-1347215521227
HUB ID  SR# 1-1383197101647
Delete Hub ID linked to Torpedo Customer
Remove Hub id ongkinting0503@gmail.com / ONG KIN TING / active hub id ongkinting050350@gmail.co
  Social Media | Case #1321777 | Martin | ESSO | Mobile | Hub iD Deletion in ESSO
VVIP Khaw Boon Wan unable to reset HUB ID passworrd
Unable upgrade hub ID (SR 1-1383331546798)
unable to delete hub id&lt;TT#81580118&gt;
My Account | HUB ID | Unable to Upgrade HUB ID | SR 1-1383337884360</t>
        </is>
      </c>
      <c r="F9" t="inlineStr">
        <is>
          <t>Production support</t>
        </is>
      </c>
      <c r="G9" t="inlineStr">
        <is>
          <t>Pham Minh Chau</t>
        </is>
      </c>
      <c r="H9" t="inlineStr">
        <is>
          <t>AMS</t>
        </is>
      </c>
      <c r="I9" t="inlineStr">
        <is>
          <t>FPT</t>
        </is>
      </c>
      <c r="J9" t="n">
        <v>8</v>
      </c>
    </row>
    <row r="10">
      <c r="A10" s="1" t="n">
        <v>46143</v>
      </c>
      <c r="B10" s="1" t="n">
        <v>46153</v>
      </c>
      <c r="C10" t="inlineStr">
        <is>
          <t>Project Task</t>
        </is>
      </c>
      <c r="D10" t="inlineStr">
        <is>
          <t>INC1515822
INC1515316
INC1514892
INC1439903
INC1499671
INC1514888
INC1514900
INC1514906
INC1515314
INC1515360
INC1515373
INC1515389
INC1515457
INC1515474
INC1515674
INC1515699
INC1515733
INC1515761
INC1515767
INC1515777
INC1515781
INC1515782
INC1515813
INC1515819
INC1515837
INC1515861
INC1515870
INC1515928
INC1516189
INC1516252
INC1516322</t>
        </is>
      </c>
      <c r="E10" t="inlineStr">
        <is>
          <t xml:space="preserve">Email | #1322790 | ESSO | Mobile | Hub iD Deletion in ESSO | natw.89@gmail.com
TT/SR : &lt;&lt;#1-1382859453809&gt;&gt;
TT NO : 1-1381741493429
COMPAX | Star Plan | [Torpedo] Hub iD Deletion | 85996007 | Case #1217314
MSA | Unable to login MSA | 83300795
1-1381986284074
StarHub app | Broadband | Unable to change Hub ID contact information | SR 1-1383395049396X
Urgent!! Unable to Link to Singpass. 
[Supernova - TM Shop] Unable to proceed to sign up plan 5G MAX 
HUB ID Issue
[Supernova - NEX Shop] Email did not receive OTP / SID 96741879
HUBID ISSUE/NG KOON HUAT/Change HUB ID to royng75@gmail.com
Hub ID Issue &lt;&lt;SR#1-1383351538681&gt;&gt;
UNABLE TO CREATE HUB ID - 1-1383628888706
Hub iD | Unable to Update Email Address |SR 1-1383724245808
My Account | Change Hub iD | SR 1-1383728576183
SH App | Hub ID |  SHTV+  | Change HUB ID email  | SR:  1-1383752398522
UNABLE TO CHANGE PASSWORD
Hub iD locked | SR no : 1-1383585368325
 Unable to update the hub id -  casey.lim67@gmail.com
HUB id error : Cannot change hub id
92729814-Hub id log in issue
TT/SR &lt;&lt;#1-1382174118828&gt;&gt;
Unable Active Hub ID (SR# 1-1383777305326)
unable to create hub id&lt;TT#98815123&gt;
My Account | Hub iD | Error while Upgrade Hub iD Lite to Hub iD | SR 1-1383807490931
INC1511571 SOCMED CASE#1318668| ESSO | Broadband and TV| Unable to Upgrade Hub iD|Hub iD in Lite Status Created more than 14 days with active TV service
10/05 : Change Hub ID issue : SR &lt;1-1381092102027&gt;
 Unable to log in Hub ID via MSA
 [Legacy- JP] Unable perform change of HUB ID / hit error &lt;NW&gt; / TEE SEONG HOCK
Email Case 1280947 | Siebel- ESSO  | Hub iD Deletion in ESSO </t>
        </is>
      </c>
      <c r="F10" t="inlineStr">
        <is>
          <t>Production support</t>
        </is>
      </c>
      <c r="G10" t="inlineStr">
        <is>
          <t>Pham Minh Chau</t>
        </is>
      </c>
      <c r="H10" t="inlineStr">
        <is>
          <t>AMS</t>
        </is>
      </c>
      <c r="I10" t="inlineStr">
        <is>
          <t>FPT</t>
        </is>
      </c>
      <c r="J10" t="n">
        <v>8</v>
      </c>
    </row>
    <row r="11">
      <c r="A11" s="1" t="n">
        <v>46143</v>
      </c>
      <c r="B11" s="1" t="n">
        <v>46154</v>
      </c>
      <c r="C11" t="inlineStr">
        <is>
          <t>Project Task</t>
        </is>
      </c>
      <c r="D11" t="inlineStr">
        <is>
          <t>INC1516411
INC1516562
INC1516567
INC1516654
INC1442574
INC1516493
INC1516524
INC1516676
INC1516679
INC1442468
INC1517058
INC1514892
INC1439903
INC1514845
INC1509227
INC1515316
INC1514888
INC1516411
INC1515781
INC1516562
INC1513053
INC1512787
INC1438546
INC1514754
INC1505466
INC1513424
INC1447470
INC1515733
INC1517144
INC1515861
INC1443898
INC1517240
INC1517180
INC1516359</t>
        </is>
      </c>
      <c r="E11" t="inlineStr">
        <is>
          <t>ESSO  | Change HUB ID issue - SR#: 1-1383357969911
EMAIL | Case 1323922 |  Delete Hub ID | Prepaid SP | CID 1052781
INC1507327 Starhub App | Hub iD | Unable to Create Hub id  | 81535703
P3U - LOB/Product |  ESSO | Mobile | Hub iD Deletion in ESSO | 94881427/94881427
StarHub App | Hub iD | Unable to Activate | SR 1-1350279905657
[Supernova] Unable to Convert SN - Chen Kian Khiong
 Supernova – PG Shop / not able to upgrade profile for supernova
StarHub app | Hub ID Related Issue | HubID kellyscchua@gmail.com | Customer ID1573753
StarHub app | Hub ID Related Issue | HubID: kellyscchua@gmail.com | Customer ID: 1573753
hub id concern
INC1512233, Siebel | Hub ID unable to login | 93683959
TT NO : 1-1381741493429
COMPAX | Star Plan | [Torpedo] Hub iD Deletion | 85996007 | Case #1217314
My Account | HUB ID | Unable to Upgrade HUB ID | SR 1-1383337884360
 Supernova – PG Shop / Unable to select existing legacy number for NOVA 5G Plan. S7265099I SID: 82687076
TT/SR : &lt;&lt;#1-1382859453809&gt;&gt;
1-1381986284074
ESSO  | Change HUB ID issue - SR#: 1-1383357969911
HUB id error : Cannot change hub id
EMAIL | Case 1323922 |  Delete Hub ID | Prepaid SP | CID 1052781
ESSO | Siebel| Hub iD Deletion in ESSO | SR: 1-1380763594730
StarHub app | Mobile | Unable to Link HUB ID  | 92962669
Application | Mobile | Hub iD Login Issue | SR 1-1347215521227
Unable upgrade hub ID (SR 1-1383331546798)
StarHub app | Mobile | Hub iD | Unable to Log In | SR 1-1379713760636
TT / SR &lt;&lt;1-1382770746224&gt;&gt;
StarHub Prepaid Plan - Case #1232403 - Delete Hub iD - CID 1452773 
SH App | Hub ID |  SHTV+  | Change HUB ID email  | SR:  1-1383752398522
change hub id but show process very long  sr 1-1383598942131
My Account | Hub iD | Error while Upgrade Hub iD Lite to Hub iD | SR 1-1383807490931
StarHub app | Hub ID | Unable to Change Hub ID | SR 1-1350804160930
Hub ID issue I SR#1-1384014693060
Incident Title: Unable to create Hub Id in MSA
Merge hub id to bouzi533@gmail.com / Mohamad Bouzi Bin Sulaiman</t>
        </is>
      </c>
      <c r="F11" t="inlineStr">
        <is>
          <t>Production support</t>
        </is>
      </c>
      <c r="G11" t="inlineStr">
        <is>
          <t>Pham Minh Chau</t>
        </is>
      </c>
      <c r="H11" t="inlineStr">
        <is>
          <t>AMS</t>
        </is>
      </c>
      <c r="I11" t="inlineStr">
        <is>
          <t>FPT</t>
        </is>
      </c>
      <c r="J11" t="n">
        <v>8</v>
      </c>
    </row>
    <row r="12">
      <c r="A12" s="1" t="n">
        <v>46143</v>
      </c>
      <c r="B12" s="1" t="n">
        <v>46155</v>
      </c>
      <c r="C12" t="inlineStr">
        <is>
          <t>Project Task</t>
        </is>
      </c>
      <c r="D12" t="inlineStr">
        <is>
          <t>INC1517322
INC1517329
INC1517356
INC1517384
INC1516676
INC1517658
INC1517706
INC1515777
INC1515674
INC1517786
INC1514809
INC1513669
INC1516359
INC1517384
INC1517853</t>
        </is>
      </c>
      <c r="E12" t="inlineStr">
        <is>
          <t xml:space="preserve"> [Supernova – JP Shop]email tied to a different email error  |Customer : Shafik Ahamed Bin Maadarsha]
Hub id / acc issue - hub id unable to activate
Compax | 5G Unlimited Plan | Change HUB iD | 86901730
hub id issue SR#1-1383940801475
StarHub app | Hub ID Related Issue | HubID kellyscchua@gmail.com | Customer ID1573753
My Account | HUB ID | Unable to Link HUB ID to NRIC | SR 1-1383810609131
My Account | HUB ID | Unable to Link HUB ID to NRIC | SR 1-1384294393963
 Unable to update the hub id -  casey.lim67@gmail.com
Hub iD | Unable to Update Email Address |SR 1-1383724245808
SR 1-1381608286658-Hub id issue
unable to delete hub id&lt;TT#81580118&gt;
Unable to change Hub Id: SR#1-1382557401259
Merge hub id to bouzi533@gmail.com / Mohamad Bouzi Bin Sulaiman
hub id issue SR#1-1383940801475
Msa| Hub iD | Unable to Upgrade Hub id | SR# 1-1384396234168</t>
        </is>
      </c>
      <c r="F12" t="inlineStr">
        <is>
          <t>Production support</t>
        </is>
      </c>
      <c r="G12" t="inlineStr">
        <is>
          <t>Pham Minh Chau</t>
        </is>
      </c>
      <c r="H12" t="inlineStr">
        <is>
          <t>AMS</t>
        </is>
      </c>
      <c r="I12" t="inlineStr">
        <is>
          <t>FPT</t>
        </is>
      </c>
      <c r="J12" t="n">
        <v>8</v>
      </c>
    </row>
    <row r="13">
      <c r="A13" s="1" t="n">
        <v>46143</v>
      </c>
      <c r="B13" s="1" t="n">
        <v>46156</v>
      </c>
      <c r="C13" t="inlineStr">
        <is>
          <t>Project Task</t>
        </is>
      </c>
      <c r="D13" t="inlineStr">
        <is>
          <t>INC1396664
INC1517927
INC1517991
INC1518007
INC1518415
INC1518471
INC1511957
INC1510623
INC1514427</t>
        </is>
      </c>
      <c r="E13" t="inlineStr">
        <is>
          <t>Unable to recon to 5g lite plan due to payment show error for 85713775
Request delete hub ID
Hub Id Issue SR//1-1384404206583
ESSO | Mobile | Hub iD Deletion in ESSO | Case 1324944 | SR: 1-1384408509401
ESSO | 85050506 | Hub iD Deletion in ESSO
 ESSO | 85050506 | Hub iD Deletion in ESSO
 Case # 1225764 Reason : ESSO|  Hub ID Deletion in ESSO
 Hub ID email : deadboyh@live.com - link to wrong NRIC 
Hub iD issue | SR no :</t>
        </is>
      </c>
      <c r="F13" t="inlineStr">
        <is>
          <t>Production support</t>
        </is>
      </c>
      <c r="G13" t="inlineStr">
        <is>
          <t>Pham Minh Chau</t>
        </is>
      </c>
      <c r="H13" t="inlineStr">
        <is>
          <t>AMS</t>
        </is>
      </c>
      <c r="I13" t="inlineStr">
        <is>
          <t>FPT</t>
        </is>
      </c>
      <c r="J13" t="n">
        <v>8</v>
      </c>
    </row>
    <row r="14">
      <c r="A14" s="1" t="n">
        <v>46143</v>
      </c>
      <c r="B14" s="1" t="n">
        <v>46156</v>
      </c>
      <c r="C14" t="inlineStr">
        <is>
          <t>Weekday support</t>
        </is>
      </c>
      <c r="D14" t="inlineStr">
        <is>
          <t>CHG0051649 || Microsoft patch deployment on AD prod Server</t>
        </is>
      </c>
      <c r="F14" t="inlineStr">
        <is>
          <t>Production support</t>
        </is>
      </c>
      <c r="G14" t="inlineStr">
        <is>
          <t>Pham Minh Chau</t>
        </is>
      </c>
      <c r="H14" t="inlineStr">
        <is>
          <t>AMS</t>
        </is>
      </c>
      <c r="I14" t="inlineStr">
        <is>
          <t>FPT</t>
        </is>
      </c>
      <c r="J14" t="n">
        <v>6</v>
      </c>
    </row>
    <row r="15">
      <c r="A15" s="1" t="n">
        <v>46143</v>
      </c>
      <c r="B15" s="1" t="n">
        <v>46157</v>
      </c>
      <c r="C15" t="inlineStr">
        <is>
          <t>Project Task</t>
        </is>
      </c>
      <c r="D15" t="inlineStr">
        <is>
          <t>INC1518549
INC1518615
INC1518637
INC1518656
INC1500196
INC1518982
INC1489787
INC1518955
INC1519060
INC1396664
INC1519092
INC1515474
INC1515870
INC1517991
INC1518415
INC1517927</t>
        </is>
      </c>
      <c r="E15" t="inlineStr">
        <is>
          <t>14/05 : Hub ID password reset issue : Compax &lt;86878803&gt;
StarHub app | Mobile | Unable to change hub id | SR #1-1384525466658
ESSO | Mobile | Hub iD Deletion in ESSO
INC1510238 INC1505765 Re: INC1478967 Compax and ESSO | Mobile | Hub iD Deletion in ESSO | auszelok@hotmail.com
Social Media #1305838 |  StarHub App | Hub iD |Deletion-Locked out | SR 1-1377258566577
Unable to submit sales from Dealer App due to duplicate profile in ESSO/Compax / Ching Kai Sern
JP SHOP Erro - SUPERNOVA : Delete hub id : somannithish@yahoo.com.sg / S7465634Z / acct no : 1.15263338
Unable to delete HUB ID / Ching Kai Sern
Unable to delete Old Hub ID and search under NRIC, unable to retrieve.
Unable to recon to 5g lite plan due to payment show error for 85713775
Unable to change plan to 5g lite due to error
UNABLE TO CREATE HUB ID - 1-1383628888706
INC1511571 SOCMED CASE#1318668| ESSO | Broadband and TV| Unable to Upgrade Hub iD|Hub iD in Lite Status Created more than 14 days with active TV service
Hub Id Issue SR//1-1384404206583
ESSO | 85050506 | Hub iD Deletion in ESSO
Request delete hub ID</t>
        </is>
      </c>
      <c r="F15" t="inlineStr">
        <is>
          <t>Production support</t>
        </is>
      </c>
      <c r="G15" t="inlineStr">
        <is>
          <t>Pham Minh Chau</t>
        </is>
      </c>
      <c r="H15" t="inlineStr">
        <is>
          <t>AMS</t>
        </is>
      </c>
      <c r="I15" t="inlineStr">
        <is>
          <t>FPT</t>
        </is>
      </c>
      <c r="J15" t="n">
        <v>8</v>
      </c>
    </row>
    <row r="16">
      <c r="A16" s="1" t="n">
        <v>46143</v>
      </c>
      <c r="B16" s="1" t="n">
        <v>46160</v>
      </c>
      <c r="C16" t="inlineStr">
        <is>
          <t>Project Task</t>
        </is>
      </c>
      <c r="D16" t="inlineStr">
        <is>
          <t>INC1518471
INC1518982
INC1519258
INC1447510
INC1513053
INC1514809
INC1519186
INC1519534
INC1519556
INC1519580
INC1519582
INC1519840
INC1519909
INC1519937
INC1519957
INC1519966
INC1519977
INC1520049
INC1448395
INC1493527
INC1517853
INC1519147</t>
        </is>
      </c>
      <c r="E16" t="inlineStr">
        <is>
          <t xml:space="preserve"> ESSO | 85050506 | Hub iD Deletion in ESSO
Unable to submit sales from Dealer App due to duplicate profile in ESSO/Compax / Ching Kai Sern
INC1514285 Supenova / STC / Unable to submit sales from Dealer App due to duplicate profile in ESSO/Compax / Ching Kai Sern
Prepaid L - Case #1232116 - Delete Hub iD
ESSO | Siebel| Hub iD Deletion in ESSO | SR: 1-1380763594730
unable to delete hub id&lt;TT#81580118&gt;
Social Media | Verint Case: #1327351 | Hub iD: Liyun4219@gmail.com | Delete Hub iD Request
SOCMED | #1328346 | HUB ID DELETION | HUB ID: smohib945@gmail.com
SocMed Case#1328216 / Unable to reset Hub iD Password / SR#1-1384972750161
Request to delete HUB ID
ESSO | 84687036 | Hub iD Deletion in ESSO
1.16028368N // Hub ID // Unable to Login - error message email id has been taken // SR: 1-1385138221588
unable to delete hub id rainwanghongyu@gmail.com
ESSO |82007803 | Hub iD Deletion in ESSO
Hub ID login issue 
85529772 // Hub ID // Unable to Login - No longer using the old Hub ID // ID: 2173490808
Social Media | Delete Hub iD Request | jelsyn215@gmail.com | CID 1508056
Social Media | 1328924 | Hub iD Deletion for CID: 1680424 
Siebel | Starhub apps no show billing account | 96572955
[Supernova - Nexshop] Your Hub iD cannot be activation via this email / SID 98510181
Msa| Hub iD | Unable to Upgrade Hub id | SR# 1-1384396234168
Urgent!! HUB ID Upgrade from lite to main </t>
        </is>
      </c>
      <c r="F16" t="inlineStr">
        <is>
          <t>Production support</t>
        </is>
      </c>
      <c r="G16" t="inlineStr">
        <is>
          <t>Pham Minh Chau</t>
        </is>
      </c>
      <c r="H16" t="inlineStr">
        <is>
          <t>AMS</t>
        </is>
      </c>
      <c r="I16" t="inlineStr">
        <is>
          <t>FPT</t>
        </is>
      </c>
      <c r="J16" t="n">
        <v>8</v>
      </c>
    </row>
    <row r="17">
      <c r="A17" s="1" t="n">
        <v>46143</v>
      </c>
      <c r="B17" s="1" t="n">
        <v>46161</v>
      </c>
      <c r="C17" t="inlineStr">
        <is>
          <t>Project Task</t>
        </is>
      </c>
      <c r="D17" t="inlineStr">
        <is>
          <t>INC1520606
INC1520693
INC1519179
INC1519217
INC1519492
INC1519504
INC1519519
INC1519546
INC1519574
INC1519575
INC1519735
INC1519772
INC1519837
INC1519855
INC1519867
INC1519932
INC1519982
INC1520009
INC1520023
INC1520063
INC1520146
INC1520147</t>
        </is>
      </c>
      <c r="E17" t="inlineStr">
        <is>
          <t>IS Escalate/Please assist delete HUB ID norisham_sham@yahoo.com in ESSO -110000000000000000117534303./SID 90672747
IS Escalate/Hit error after do singpass verify, Please assist delete HUB ID tanglimbuilder@gmail.com in ESSO -110000000000000000116764571./SID 93824659
Supenova / STC /Cannot Received OTP  / Recon mobile 91695314 /T SATHISH
Hub id different from siebel and starhub App
Hub id issue SR#
unable receive email to reset msa password, cust want change hub id email
Merge hub id to leesansan40@gmail.com/ Lee San San
Hub ID | Unable to unlock Account |  SR # 1-1384979559033
My Account | Hub iD | Unable to Log In | SR 1-1385002347488
Case: 1326831 Reason: Hub iD Lite Unlock request
Cannot Unlock Hub ID / CHRISTIAN STEVEN KEY
[Siebel] Update Hub ID Email - YOSHIDA KAZUYA
My Account | Hub iD | Unable to Log In |  forget password unable to retrive at support page SR 1-1385025785028
Unable to Upgrade Hub id | SR# 1-1385147559658
StarHub app | HH | New  Hub ID in esso under processing SR 1-1385154607825
Hub id issue /  Siebel
TT NO : 94545914
esso error cant change customer HUB ID
COAMPAX | Customer Unable to  Change HUB ID | 92370330
 SH App| Mobile | Unable to Upgrade HUB ID | SR 1-1385250259934
HQ2 Social Media | Case #1328989 | Hub iD Lite Activation and Password Reset Issue | Siebel | SR: 1-1385220168273
INC1517180, Incident Title: Unable to create Hub Id in MSA : SR &lt;1-1384135604614&gt;</t>
        </is>
      </c>
      <c r="F17" t="inlineStr">
        <is>
          <t>Production support</t>
        </is>
      </c>
      <c r="G17" t="inlineStr">
        <is>
          <t>Pham Minh Chau</t>
        </is>
      </c>
      <c r="H17" t="inlineStr">
        <is>
          <t>AMS</t>
        </is>
      </c>
      <c r="I17" t="inlineStr">
        <is>
          <t>FPT</t>
        </is>
      </c>
      <c r="J17" t="n">
        <v>8</v>
      </c>
    </row>
    <row r="18">
      <c r="A18" s="1" t="n">
        <v>46143</v>
      </c>
      <c r="B18" s="1" t="n">
        <v>46161</v>
      </c>
      <c r="C18" t="inlineStr">
        <is>
          <t>Weekday support</t>
        </is>
      </c>
      <c r="D18" t="inlineStr">
        <is>
          <t>CHG0051751 || IOS Upgrade to 16.12.15 on Cisco Switch : ESSOSW6, ESSOSW7 - 19th MAY-2026</t>
        </is>
      </c>
      <c r="F18" t="inlineStr">
        <is>
          <t>Production support</t>
        </is>
      </c>
      <c r="G18" t="inlineStr">
        <is>
          <t>Pham Minh Chau</t>
        </is>
      </c>
      <c r="H18" t="inlineStr">
        <is>
          <t>AMS</t>
        </is>
      </c>
      <c r="I18" t="inlineStr">
        <is>
          <t>FPT</t>
        </is>
      </c>
      <c r="J18" t="n">
        <v>4</v>
      </c>
    </row>
    <row r="19">
      <c r="A19" s="1" t="n">
        <v>46143</v>
      </c>
      <c r="B19" s="1" t="n">
        <v>46162</v>
      </c>
      <c r="C19" t="inlineStr">
        <is>
          <t>Project Task</t>
        </is>
      </c>
      <c r="D19" t="inlineStr">
        <is>
          <t>INC1515861
INC1520155
INC1520432
INC1486677
INC1520453
INC1520611
INC1520641
INC1520712
INC1521031
INC1521102
INC1521192
INC1521259
INC1521270
INC1521301
INC1521368
INC1521034
INC1521630
INC1521710
INC1519966
INC1521713
INC1521732
INC1519582
INC1519092
INC1520712
INC1520023
INC1519909
INC1518656
INC1519060
INC1519580
INC1519519
INC1520009
INC1519982
INC1519735
INC1519772
INC1520049
INC1519534</t>
        </is>
      </c>
      <c r="E19" t="inlineStr">
        <is>
          <t>My Account | Hub iD | Error while Upgrade Hub iD Lite to Hub iD | SR 1-1383807490931
P3U CASE UNABLE TO UPGRADE HUB ID  1-1384592984768/97941173
Hub ID issue // SR#  1-1385398387385
HQ2 Social Media Case #1287285/ cannot upgrade Hub iD
INC1517058  INC1512233, Siebel | Hub ID unable to login | 93683959
Unable to recontract line on MSA - 1-1385187920375 
StarHub app | | Unable to unlock account | SR 1-1385438748698
esso error cannot reset customer hub id password
My Account | Hub iD | Change Hub Id  | SR 1-1385561511510
Cust unable to manage MSA bcz the info still not update yet 1.16038866
My Account | Hub iD Lite | Locked | SR 1-1385583054719 
Siebel | Unable to unlock Hub ID | SR # 1-1385611289419
Kindly assist to delete hub id zesttolife@yahoo.com.sg as customer unable to link NRIC S1293080A
Hub ID Issue Unable to change HUB ID/ Mohammad Feroskhan Bin Ali Khan
Request to unlock the Hub Id | 1-1385651938104
Smart Tv issue TT#1-1385186104680
ESSO Delete HUB ID | 1-1385023730418
INC1513418 RE: unable to change hub id&lt;TT#85529772&gt;
85529772 // Hub ID // Unable to Login - No longer using the old Hub ID // ID: 2173490808
Follow up of INC1512883 Re: INC1512883 Re: ESSO hub id change error
URGENT!!!  Delete Hub ID / wongpenglam@gmail.com
ESSO | 84687036 | Hub iD Deletion in ESSO
Unable to change plan to 5g lite due to error
esso error cannot reset customer hub id password
COAMPAX | Customer Unable to  Change HUB ID | 92370330
unable to delete hub id rainwanghongyu@gmail.com
INC1510238 INC1505765 Re: INC1478967 Compax and ESSO | Mobile | Hub iD Deletion in ESSO | auszelok@hotmail.com
Unable to delete Old Hub ID and search under NRIC, unable to retrieve.
Request to delete HUB ID
Merge hub id to leesansan40@gmail.com/ Lee San San
esso error cant change customer HUB ID
TT NO : 94545914
Cannot Unlock Hub ID / CHRISTIAN STEVEN KEY
[Siebel] Update Hub ID Email - YOSHIDA KAZUYA
Social Media | 1328924 | Hub iD Deletion for CID: 1680424 
SOCMED | #1328346 | HUB ID DELETION | HUB ID: smohib945@gmail.com</t>
        </is>
      </c>
      <c r="F19" t="inlineStr">
        <is>
          <t>Production support</t>
        </is>
      </c>
      <c r="G19" t="inlineStr">
        <is>
          <t>Pham Minh Chau</t>
        </is>
      </c>
      <c r="H19" t="inlineStr">
        <is>
          <t>AMS</t>
        </is>
      </c>
      <c r="I19" t="inlineStr">
        <is>
          <t>FPT</t>
        </is>
      </c>
      <c r="J19" t="n">
        <v>8</v>
      </c>
    </row>
    <row r="20">
      <c r="A20" s="1" t="n">
        <v>46143</v>
      </c>
      <c r="B20" s="1" t="n">
        <v>46163</v>
      </c>
      <c r="C20" t="inlineStr">
        <is>
          <t>Project Task</t>
        </is>
      </c>
      <c r="D20" t="inlineStr">
        <is>
          <t>INC1520049
INC1521102
INC1442468
INC1520693
INC1519957
INC1521630
INC1521270
INC1521732
INC1443898
INC1522318
INC1522359
INC1522294
INC1522271
INC1522388</t>
        </is>
      </c>
      <c r="E20" t="inlineStr">
        <is>
          <t>Social Media | 1328924 | Hub iD Deletion for CID: 1680424 
Cust unable to manage MSA bcz the info still not update yet 1.16038866
hub id concern
IS Escalate/Hit error after do singpass verify, Please assist delete HUB ID tanglimbuilder@gmail.com in ESSO -110000000000000000116764571./SID 93824659
Hub ID login issue 
ESSO Delete HUB ID | 1-1385023730418
Kindly assist to delete hub id zesttolife@yahoo.com.sg as customer unable to link NRIC S1293080A
URGENT!!!  Delete Hub ID / wongpenglam@gmail.com
StarHub app | Hub ID | Unable to Change Hub ID | SR 1-1350804160930
Unable to delete hub ID
Follow up of INC1511957 Case # 1225764 Reason : ESSO|  Hub ID Deletion in ESSO
My Account |ader_ong@hotmail.com| Different registered mobile number | SR 1-1386038413195
TV Provisioning issue (TT#1-1385840246978)
Compax | Mobile | Hub iD Deletion in ESSO | chow_shi_xiong@yahoo.com</t>
        </is>
      </c>
      <c r="F20" t="inlineStr">
        <is>
          <t>Production support</t>
        </is>
      </c>
      <c r="G20" t="inlineStr">
        <is>
          <t>Pham Minh Chau</t>
        </is>
      </c>
      <c r="H20" t="inlineStr">
        <is>
          <t>AMS</t>
        </is>
      </c>
      <c r="I20" t="inlineStr">
        <is>
          <t>FPT</t>
        </is>
      </c>
      <c r="J20" t="n">
        <v>8</v>
      </c>
    </row>
    <row r="21">
      <c r="A21" s="1" t="n">
        <v>46143</v>
      </c>
      <c r="B21" s="1" t="n">
        <v>46163</v>
      </c>
      <c r="C21" t="inlineStr">
        <is>
          <t>Weekday support</t>
        </is>
      </c>
      <c r="D21" t="inlineStr">
        <is>
          <t>CHG0051753 -IOS Upgrade to 16.12.15 on, ESSOSW8, ESSO_DB_SW9 Switches.</t>
        </is>
      </c>
      <c r="F21" t="inlineStr">
        <is>
          <t>Production support</t>
        </is>
      </c>
      <c r="G21" t="inlineStr">
        <is>
          <t>Pham Minh Chau</t>
        </is>
      </c>
      <c r="H21" t="inlineStr">
        <is>
          <t>AMS</t>
        </is>
      </c>
      <c r="I21" t="inlineStr">
        <is>
          <t>FPT</t>
        </is>
      </c>
      <c r="J21" t="n">
        <v>2</v>
      </c>
    </row>
    <row r="22">
      <c r="A22" s="1" t="n">
        <v>46143</v>
      </c>
      <c r="B22" s="1" t="n">
        <v>46164</v>
      </c>
      <c r="C22" t="inlineStr">
        <is>
          <t>Project Task</t>
        </is>
      </c>
      <c r="D22" t="inlineStr">
        <is>
          <t>INC1521878
INC1522414
INC1522484
INC1522504
INC1520453
INC1522776
INC1522881
INC1519977
INC1522318
INC1522388</t>
        </is>
      </c>
      <c r="E22" t="inlineStr">
        <is>
          <t>MSA| Tv+ | Unable to watch Sport+ | Sr#1-1384966328489
SIEBEL|STARHUB APP| Social Media Case ID: #1332322|Hub iD Deletion|BA: 1.16034594
SIEBEL|STARHUB APP| Social Media Case ID: #1332661|Hub iD Deletion|BA:1.15791928
Change Hub ID SR#1-1386112979994
INC1517058  INC1512233, Siebel | Hub ID unable to login | 93683959
ESSO | Mobile | Hub iD Deletion in ESSO | SR 1-1386307740656
  Supernova – JP Shop / Recon, unable to sign up SN due to re-login issue
Social Media | Delete Hub iD Request | jelsyn215@gmail.com | CID 1508056
Unable to delete hub ID
Compax | Mobile | Hub iD Deletion in ESSO | chow_shi_xiong@yahoo.com</t>
        </is>
      </c>
      <c r="F22" t="inlineStr">
        <is>
          <t>Production support</t>
        </is>
      </c>
      <c r="G22" t="inlineStr">
        <is>
          <t>Pham Minh Chau</t>
        </is>
      </c>
      <c r="H22" t="inlineStr">
        <is>
          <t>AMS</t>
        </is>
      </c>
      <c r="I22" t="inlineStr">
        <is>
          <t>FPT</t>
        </is>
      </c>
      <c r="J22" t="n">
        <v>8</v>
      </c>
    </row>
    <row r="23">
      <c r="A23" s="1" t="n">
        <v>46143</v>
      </c>
      <c r="B23" s="1" t="n">
        <v>46167</v>
      </c>
      <c r="C23" t="inlineStr">
        <is>
          <t>Project Task</t>
        </is>
      </c>
      <c r="D23" t="inlineStr">
        <is>
          <t>INC1519977
INC1522976
INC1523328
INC1521238
INC1523113
INC1523266
INC1523274
INC1523284
INC1523296
INC1523297
INC1523358
INC1523435
INC1523537
INC1523610
INC1523623
INC1523634
INC1523667
INC1523750
INC1524001
INC1524062
INC1521663
INC1524141
INC1524182
INC1524185
INC1524247</t>
        </is>
      </c>
      <c r="E23" t="inlineStr">
        <is>
          <t>Social Media | Delete Hub iD Request | jelsyn215@gmail.com | CID 1508056
SOCMED | #1328346 |  HUB ID DELETION | smohib945@gmail.com
SOCMED| CASE # (#1333933) | Deletion of Hub iD| enisape583@gmail.com
Unable to Unable to View Bills &amp; Website Issue / BRN 200304967W / ETORA UNITED ENGINEERING (S) PTE. LTD.
Unable Upgrade HUB ID / SR# 1-1386407924860/ Tio Haw Haw
Unable to upgrade HUD ID 
INC1517356 Compax | 5G Unlimited Plan | Change HUB iD | 86901730
COMPAX | UPDATE ID ISSUE |  91663710
hub id issue #1-1386564206674
Change Hub ID
 change hub id SR- 1-1382174118828
My account | Unable to upgrade HUB ID | SR#1-1386635152066
Hub ID issue | SR no :1-1386624548322
ESSO | 96231785| Hub iD Locked
StarHub App | Unable to log in to StarHub App | SR# 1-1386728058847
My Account | Hub iD | Unable to upgrade Hub ID | SR 1-1386706113303
IS | Unable to sync Hub ID, Max Sign-Up Attempt SR#1-1386757504245
INC1519877 [Supernova - Nex Shop] Merge hub id to l.sivakumar@hotmail.com
HQ2 Social Media| Case iD 1334822 | Hub iD Deletion in ESSO | Account number 1.16038031
unable to delete hub id estherlow21@yahoo.com.sg
Starhub App | BNPL | Email registered on forgotten email | 82323491
1-1386963673143| SIEBEL| HUB ID ISSUE |  94523969
P3U - LOB/Product | IHUB ID DELETION  | I91891964/94545914 D DELETION 
HQ2-SocMed | Case #1335413 | Hub iD Deletion | CID: 1518241 | Hub iD soomingming@gmail.com  | CID: 1518241
Esso Delete Hub id &lt;&lt;#1-1384294393963&gt;&gt;</t>
        </is>
      </c>
      <c r="F23" t="inlineStr">
        <is>
          <t>Production support</t>
        </is>
      </c>
      <c r="G23" t="inlineStr">
        <is>
          <t>Pham Minh Chau</t>
        </is>
      </c>
      <c r="H23" t="inlineStr">
        <is>
          <t>AMS</t>
        </is>
      </c>
      <c r="I23" t="inlineStr">
        <is>
          <t>FPT</t>
        </is>
      </c>
      <c r="J23" t="n">
        <v>8</v>
      </c>
    </row>
    <row r="24">
      <c r="A24" s="1" t="n">
        <v>46143</v>
      </c>
      <c r="B24" s="1" t="n">
        <v>46168</v>
      </c>
      <c r="C24" t="inlineStr">
        <is>
          <t>Project Task</t>
        </is>
      </c>
      <c r="D24" t="inlineStr">
        <is>
          <t>INC1453095
INC1454078
INC1521238
INC1524153
INC1524254
INC1524271
INC1524292
INC1524309
INC1524604
INC1524664
INC1524671
INC1524768
INC1524776
INC1524807
INC1524844
INC1524931
INC1523537
INC1520606
INC1489787
INC1517706
INC1521259
INC1524182
INC1519840
INC1522359
INC1448371</t>
        </is>
      </c>
      <c r="E24" t="inlineStr">
        <is>
          <t>My Account | Hub iD | Unable to Log In | SR 1-1354212794278
 Email and hub ID doesn't match - youcanfind.sheila@gmail.com
Unable to Unable to View Bills &amp; Website Issue / BRN 200304967W / ETORA UNITED ENGINEERING (S) PTE. LTD.
My Account | Hub iD | Unable to Create Hub ID | SR 1-1387004960754
 NOVA: to change to a new HUB ID : sueta552f@gmail.com / mobile 91808722
My Account | HUB ID | Unable to Upgrade | SR 1-1386969807167
Unable to link HUB ID to email / Lee Xin Yu / 2352907456@qq.com
StarHub app | Hub ID | unable to link Hub ID to NRIC// OTP log in error | 94881427
Compax and ESSO | Mobile | Hub iD Deletion in ESSO | CID 1659894 | SocMed#1335871
INC1521162 Compax and ESSO | hsuthetaung11@gmail.com | CID 1678422  | Hub iD Deletion in ESSO and compax | #1327354
ESSO Delete HUB ID | 98272288
ESSO Delete hub ID | 1-1386036085226
Compax and ESSO | Mobile | Hub iD Deletion in ESSO | CID 1377206 CID 1589680
INC1504689 COMPAX and ESSO | Mobile | Hub iD De-association and Deletion in ESSO  | CID 61173075
Hub ID Error sign up NOVA plan / LIM MIN YEN / 1.16042130
User Dealer App landed in consumer page instead of dealer landing page - shaun.lee@starhub.com
Hub ID issue | SR no :1-1386624548322
IS Escalate/Please assist delete HUB ID norisham_sham@yahoo.com in ESSO -110000000000000000117534303./SID 90672747
JP SHOP Erro - SUPERNOVA : Delete hub id : somannithish@yahoo.com.sg / S7465634Z / acct no : 1.15263338
My Account | HUB ID | Unable to Link HUB ID to NRIC | SR 1-1384294393963
Siebel | Unable to unlock Hub ID | SR # 1-1385611289419
P3U - LOB/Product | IHUB ID DELETION  | I91891964/94545914 D DELETION 
1.16028368N // Hub ID // Unable to Login - error message email id has been taken // SR: 1-1385138221588
Follow up of INC1511957 Case # 1225764 Reason : ESSO|  Hub ID Deletion in ESSO
Social Media | Case#1233142 | Receiving of OTP issue | 1-1352554332619</t>
        </is>
      </c>
      <c r="F24" t="inlineStr">
        <is>
          <t>Production support</t>
        </is>
      </c>
      <c r="G24" t="inlineStr">
        <is>
          <t>Pham Minh Chau</t>
        </is>
      </c>
      <c r="H24" t="inlineStr">
        <is>
          <t>AMS</t>
        </is>
      </c>
      <c r="I24" t="inlineStr">
        <is>
          <t>FPT</t>
        </is>
      </c>
      <c r="J24" t="n">
        <v>8</v>
      </c>
    </row>
    <row r="25">
      <c r="A25" s="1" t="n">
        <v>46143</v>
      </c>
      <c r="B25" s="1" t="n">
        <v>46169</v>
      </c>
      <c r="C25" t="inlineStr">
        <is>
          <t>PH Support</t>
        </is>
      </c>
      <c r="D25" t="inlineStr">
        <is>
          <t>INC1524971
INC1524988
INC1525041
INC1525049
INC1525067
INC1525291
INC1525315
INC1456120
INC1525336
INC1525342
INC1525343
INC1525393
INC1525443
INC1525473
INC1525510
INC1522388
INC1525560</t>
        </is>
      </c>
      <c r="E25" t="inlineStr">
        <is>
          <t xml:space="preserve">Siebel | Mobile | Cust unable to upgrade HUB ID and link with his account |  SR# 1-1387145018510
HUBID ISSUE/AHMAD ZAKIE BIN HUSSAIN/Change HUB ID to zakie4326@gmail.com
Unable to delete Old Hub ID duckyboosh@yahoo.com.sg.
HUB ID issue /malarkalai20@gmail.com
Delete Hub ID | 80570803
Unable to log in via MSA - 97631143 
Hq2 Social Media | Case iD 1336812 | Hub iD Deletion in ESSO | Acct number 1.16041471
Hub iD issue CID 1444448
not able to update profile in Compax due to empty profile in eSSO
Hub ID  SR# 1-1387332888112
RR Supernova - PG Shop /New line sign up 5G Lite port in from Simba error encountered. Unable to make payment.Tried multiple times and with others devices same 
P3U | Compax Hub ID delete |  Prepaid 91492776
 Supernova – PG Shop / Error unable to select existing SID: 83639525. Hub ID email linked to 2 different NRIC.
INC1523678 SOCMED | #1328346 | Compax and ESSO | Mobile | Hub iD Deletion in ESSO | HUB ID: smohib945@gmail.com
EMAIL | Case 1227705 / Hub iD deletion in eSSO | SR 1-1387381429387
Compax | Mobile | Hub iD Deletion in ESSO | chow_shi_xiong@yahoo.com
Hub Id SR#1-1387232239029 </t>
        </is>
      </c>
      <c r="F25" t="inlineStr">
        <is>
          <t>Production support</t>
        </is>
      </c>
      <c r="G25" t="inlineStr">
        <is>
          <t>Pham Minh Chau</t>
        </is>
      </c>
      <c r="H25" t="inlineStr">
        <is>
          <t>AMS</t>
        </is>
      </c>
      <c r="I25" t="inlineStr">
        <is>
          <t>FPT</t>
        </is>
      </c>
      <c r="J25" t="n">
        <v>8</v>
      </c>
    </row>
    <row r="26">
      <c r="A26" s="1" t="n">
        <v>46143</v>
      </c>
      <c r="B26" s="1" t="n">
        <v>46170</v>
      </c>
      <c r="C26" t="inlineStr">
        <is>
          <t>Project Task</t>
        </is>
      </c>
      <c r="D26" t="inlineStr">
        <is>
          <t>INC1525049
INC1525614
INC1525616
INC1525652
INC1526000
INC1526017
INC1526028
INC1526048
INC1526060
INC1526085
INC1526100
INC1526106
INC1526113
INC1526120
INC1526158
INC1526253
INC1521630</t>
        </is>
      </c>
      <c r="E26" t="inlineStr">
        <is>
          <t>HUB ID issue /malarkalai20@gmail.com
INC1518359 Starhub App | Hub iD | Hub ID under different subscriber name | SR 1-1384529095633
Unable to login HUB ID after click on reset password SR 1-1387406921120
P3U - Mobile | Customer have issues update Hub iD | SR#1-1387409686486
28/05 : Change of Hub ID issue : SR &lt;1-1387381241064&gt;
Change Hub ID Request &lt;SR#1-1387151489406&gt; 
28/05 : Change of Hub ID issue : SR &lt;1-1387225510175&gt;
HUb Id issue SR#  1-1387410999434
NON P3U [Mobile]: Link Hub ID to prepaid customer / SABAPATY SURYANARAYANAN
TM SHOP Supernova Escalation- ESSO unable to update ,unable to proceed NOVA plan
My Account | Hub iD | Hub ID Account Locked | SR 1-1387165476506
StarHub App/My Account | Unable to reset Hub ID password | SR 1-1387568863069
Unable to log in Hub ID via MSA
hub id&lt;SR#1-1386548121486&gt;
ESSO | Mobile | Hub iD Deletion in ESSO
MSA| Unable to Change Hub ID | SR 1-1387642358214
ESSO Delete HUB ID | 1-1385023730418</t>
        </is>
      </c>
      <c r="F26" t="inlineStr">
        <is>
          <t>Production support</t>
        </is>
      </c>
      <c r="G26" t="inlineStr">
        <is>
          <t>Pham Minh Chau</t>
        </is>
      </c>
      <c r="H26" t="inlineStr">
        <is>
          <t>AMS</t>
        </is>
      </c>
      <c r="I26" t="inlineStr">
        <is>
          <t>FPT</t>
        </is>
      </c>
      <c r="J26" t="n">
        <v>8</v>
      </c>
    </row>
    <row r="27">
      <c r="A27" s="1" t="n">
        <v>46143</v>
      </c>
      <c r="B27" s="1" t="n">
        <v>46171</v>
      </c>
      <c r="C27" t="inlineStr">
        <is>
          <t>Project Task</t>
        </is>
      </c>
      <c r="D27" t="inlineStr">
        <is>
          <t>INC1526060
INC1526085
INC1526100
INC1526106
INC1526113
INC1526120
INC1526158
INC1526253
INC1521630</t>
        </is>
      </c>
      <c r="E27" t="inlineStr">
        <is>
          <t>NON P3U [Mobile]: Link Hub ID to prepaid customer / SABAPATY SURYANARAYANAN
TM SHOP Supernova Escalation- ESSO unable to update ,unable to proceed NOVA plan
My Account | Hub iD | Hub ID Account Locked | SR 1-1387165476506
StarHub App/My Account | Unable to reset Hub ID password | SR 1-1387568863069
Unable to log in Hub ID via MSA
hub id&lt;SR#1-1386548121486&gt;
ESSO | Mobile | Hub iD Deletion in ESSO
MSA| Unable to Change Hub ID | SR 1-1387642358214
ESSO Delete HUB ID | 1-1385023730418</t>
        </is>
      </c>
      <c r="F27" t="inlineStr">
        <is>
          <t>Production support</t>
        </is>
      </c>
      <c r="G27" t="inlineStr">
        <is>
          <t>Pham Minh Chau</t>
        </is>
      </c>
      <c r="H27" t="inlineStr">
        <is>
          <t>AMS</t>
        </is>
      </c>
      <c r="I27" t="inlineStr">
        <is>
          <t>FPT</t>
        </is>
      </c>
      <c r="J2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2026-08-03T04:17:22Z</dcterms:created>
  <dcterms:modified xmlns:dcterms="http://purl.org/dc/terms/" xmlns:xsi="http://www.w3.org/2001/XMLSchema-instance" xsi:type="dcterms:W3CDTF">2026-08-03T04:17:27Z</dcterms:modified>
</cp:coreProperties>
</file>