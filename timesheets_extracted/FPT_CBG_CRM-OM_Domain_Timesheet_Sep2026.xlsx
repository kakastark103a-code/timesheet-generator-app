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0" documentId="8_{5A2B43F5-AFC3-4DEB-9878-AE0671765FE3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Timesheet" sheetId="1" r:id="rId1"/>
    <sheet name="Summary" sheetId="2" r:id="rId2"/>
    <sheet name="Time" sheetId="3" r:id="rId3"/>
  </sheets>
  <definedNames>
    <definedName name="__PA3" hidden="1">{"'Sheet1'!$L$16"}</definedName>
    <definedName name="_a1" hidden="1">{"'Sheet1'!$L$16"}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3" hidden="1">{"'Sheet1'!$L$16"}</definedName>
    <definedName name="_Sort" hidden="1">#REF!</definedName>
    <definedName name="_SU15" hidden="1">{"'Sheet1'!$L$16"}</definedName>
    <definedName name="AA" hidden="1">{"'Sheet1'!$L$16"}</definedName>
    <definedName name="Account">#REF!</definedName>
    <definedName name="available">#REF!</definedName>
    <definedName name="btable">#REF!</definedName>
    <definedName name="Contract_Status">#REF!</definedName>
    <definedName name="costmonitor">#REF!</definedName>
    <definedName name="CTCT1" hidden="1">{"'Sheet1'!$L$16"}</definedName>
    <definedName name="Current_Level">#REF!</definedName>
    <definedName name="Current_Role">#REF!</definedName>
    <definedName name="Current_SOW_End_Date">#REF!</definedName>
    <definedName name="Current_SOW_Start_Date">#REF!</definedName>
    <definedName name="đà">#REF!</definedName>
    <definedName name="đasd">#REF!</definedName>
    <definedName name="dfhdf">#REF!</definedName>
    <definedName name="dgfd" hidden="1">{"'Sheet1'!$L$16"}</definedName>
    <definedName name="dsaff">#REF!</definedName>
    <definedName name="dsf">#REF!</definedName>
    <definedName name="dxgv" hidden="1">{"'Sheet1'!$L$16"}</definedName>
    <definedName name="FAP">#REF!</definedName>
    <definedName name="fasd">#REF!</definedName>
    <definedName name="fghfdj">#REF!</definedName>
    <definedName name="First_Start_Date">#REF!</definedName>
    <definedName name="FSU">#REF!</definedName>
    <definedName name="gf">#REF!</definedName>
    <definedName name="h" hidden="1">{"'Sheet1'!$L$16"}</definedName>
    <definedName name="hgj">#REF!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FALSE()</definedName>
    <definedName name="HTML_LineBefore" hidden="1">FALSE()</definedName>
    <definedName name="HTML_Name" hidden="1">"J.C.WONG"</definedName>
    <definedName name="HTML_OBDlg2" hidden="1">TRUE()</definedName>
    <definedName name="HTML_OBDlg4" hidden="1">TRUE()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hwtable">#REF!</definedName>
    <definedName name="kl">#REF!</definedName>
    <definedName name="Location">#REF!</definedName>
    <definedName name="May" hidden="1">#REF!</definedName>
    <definedName name="Months_with_SIA">#REF!</definedName>
    <definedName name="Name">#REF!</definedName>
    <definedName name="PO_2020" hidden="1">{"'Sheet1'!$L$16"}</definedName>
    <definedName name="positions">#REF!</definedName>
    <definedName name="Rate">#REF!</definedName>
    <definedName name="rates">#REF!</definedName>
    <definedName name="RolesRates">#REF!</definedName>
    <definedName name="RolesRatesFY2012">#REF!</definedName>
    <definedName name="totalsow">#REF!</definedName>
    <definedName name="Type_of_contrac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O3" i="3" l="1"/>
  <c r="N3" i="3"/>
  <c r="M3" i="3"/>
  <c r="L3" i="3"/>
  <c r="K3" i="3"/>
  <c r="J3" i="3"/>
  <c r="I3" i="3"/>
  <c r="H3" i="3"/>
  <c r="G3" i="3"/>
  <c r="F3" i="3"/>
  <c r="E3" i="3"/>
  <c r="D3" i="3"/>
  <c r="L10" i="2"/>
  <c r="K10" i="2"/>
  <c r="J10" i="2"/>
  <c r="I10" i="2"/>
  <c r="Q10" i="2" s="1"/>
  <c r="H10" i="2"/>
  <c r="G10" i="2"/>
  <c r="A10" i="2"/>
  <c r="L9" i="2"/>
  <c r="K9" i="2"/>
  <c r="J9" i="2"/>
  <c r="I9" i="2"/>
  <c r="Q9" i="2" s="1"/>
  <c r="H9" i="2"/>
  <c r="G9" i="2"/>
  <c r="A9" i="2"/>
  <c r="L8" i="2"/>
  <c r="K8" i="2"/>
  <c r="J8" i="2"/>
  <c r="I8" i="2"/>
  <c r="Q8" i="2" s="1"/>
  <c r="H8" i="2"/>
  <c r="G8" i="2"/>
  <c r="A8" i="2"/>
  <c r="L7" i="2"/>
  <c r="K7" i="2"/>
  <c r="J7" i="2"/>
  <c r="I7" i="2"/>
  <c r="Q7" i="2" s="1"/>
  <c r="H7" i="2"/>
  <c r="G7" i="2"/>
  <c r="A7" i="2"/>
  <c r="L6" i="2"/>
  <c r="K6" i="2"/>
  <c r="J6" i="2"/>
  <c r="I6" i="2"/>
  <c r="Q6" i="2" s="1"/>
  <c r="H6" i="2"/>
  <c r="G6" i="2"/>
  <c r="A6" i="2"/>
  <c r="L5" i="2"/>
  <c r="K5" i="2"/>
  <c r="J5" i="2"/>
  <c r="I5" i="2"/>
  <c r="Q5" i="2" s="1"/>
  <c r="H5" i="2"/>
  <c r="G5" i="2"/>
  <c r="A5" i="2"/>
  <c r="L4" i="2"/>
  <c r="K4" i="2"/>
  <c r="J4" i="2"/>
  <c r="I4" i="2"/>
  <c r="Q4" i="2" s="1"/>
  <c r="H4" i="2"/>
  <c r="G4" i="2"/>
  <c r="A4" i="2"/>
  <c r="L3" i="2"/>
  <c r="K3" i="2"/>
  <c r="J3" i="2"/>
  <c r="I3" i="2"/>
  <c r="Q3" i="2" s="1"/>
  <c r="H3" i="2"/>
  <c r="G3" i="2"/>
  <c r="A3" i="2"/>
  <c r="M3" i="2" l="1"/>
  <c r="M4" i="2"/>
  <c r="M5" i="2"/>
  <c r="M6" i="2"/>
  <c r="M7" i="2"/>
  <c r="M8" i="2"/>
  <c r="M9" i="2"/>
  <c r="M10" i="2"/>
  <c r="F10" i="2" l="1"/>
  <c r="R10" i="2"/>
  <c r="P10" i="2" s="1"/>
  <c r="O10" i="2" s="1"/>
  <c r="F9" i="2"/>
  <c r="R9" i="2"/>
  <c r="P9" i="2" s="1"/>
  <c r="O9" i="2" s="1"/>
  <c r="F8" i="2"/>
  <c r="R8" i="2"/>
  <c r="P8" i="2" s="1"/>
  <c r="O8" i="2" s="1"/>
  <c r="F7" i="2"/>
  <c r="R7" i="2"/>
  <c r="P7" i="2" s="1"/>
  <c r="O7" i="2" s="1"/>
  <c r="F6" i="2"/>
  <c r="R6" i="2"/>
  <c r="P6" i="2" s="1"/>
  <c r="O6" i="2" s="1"/>
  <c r="F5" i="2"/>
  <c r="R5" i="2"/>
  <c r="P5" i="2" s="1"/>
  <c r="O5" i="2" s="1"/>
  <c r="F4" i="2"/>
  <c r="R4" i="2"/>
  <c r="P4" i="2" s="1"/>
  <c r="O4" i="2" s="1"/>
  <c r="F3" i="2"/>
  <c r="R3" i="2"/>
  <c r="P3" i="2" s="1"/>
  <c r="O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Chau Nguyen Ngoc Bao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 xml:space="preserve">Paste value data in all column to make format unchanged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Chau Nguyen Ngoc Bao</author>
  </authors>
  <commentList>
    <comment ref="B1" authorId="0" shapeId="0" xr:uid="{00000000-0006-0000-0100-000001000000}">
      <text>
        <r>
          <rPr>
            <sz val="10"/>
            <rFont val="Arial"/>
            <family val="2"/>
          </rPr>
          <t xml:space="preserve">Chau Nguyen Ngoc Bao: Fill all yellow cells
</t>
        </r>
      </text>
    </comment>
    <comment ref="B2" authorId="0" shapeId="0" xr:uid="{00000000-0006-0000-0100-000002000000}">
      <text>
        <r>
          <rPr>
            <sz val="10"/>
            <rFont val="Arial"/>
            <family val="2"/>
          </rPr>
          <t xml:space="preserve">Chau Nguyen Ngoc Bao: Fill all yellow cells
</t>
        </r>
      </text>
    </comment>
    <comment ref="C2" authorId="0" shapeId="0" xr:uid="{00000000-0006-0000-0100-000003000000}">
      <text>
        <r>
          <rPr>
            <sz val="10"/>
            <rFont val="Arial"/>
            <family val="2"/>
          </rPr>
          <t>Chau Nguyen Ngoc Bao:
 Fill all yellow cells</t>
        </r>
      </text>
    </comment>
    <comment ref="D2" authorId="0" shapeId="0" xr:uid="{00000000-0006-0000-0100-000004000000}">
      <text>
        <r>
          <rPr>
            <sz val="10"/>
            <rFont val="Arial"/>
            <family val="2"/>
          </rPr>
          <t xml:space="preserve">Chau Nguyen Ngoc Bao: Fill all yellow cells
</t>
        </r>
      </text>
    </comment>
    <comment ref="E2" authorId="0" shapeId="0" xr:uid="{00000000-0006-0000-0100-000005000000}">
      <text>
        <r>
          <rPr>
            <sz val="10"/>
            <rFont val="Arial"/>
            <family val="2"/>
          </rPr>
          <t xml:space="preserve">Chau Nguyen Ngoc Bao: Fill all yellow cells
</t>
        </r>
      </text>
    </comment>
    <comment ref="N2" authorId="0" shapeId="0" xr:uid="{00000000-0006-0000-0100-000006000000}">
      <text>
        <r>
          <rPr>
            <sz val="10"/>
            <rFont val="Arial"/>
            <family val="2"/>
          </rPr>
          <t xml:space="preserve">Chau Nguyen Ngoc Bao: Fill all yellow cells
</t>
        </r>
      </text>
    </comment>
  </commentList>
</comments>
</file>

<file path=xl/sharedStrings.xml><?xml version="1.0" encoding="utf-8"?>
<sst xmlns="http://schemas.openxmlformats.org/spreadsheetml/2006/main" count="1396" uniqueCount="105">
  <si>
    <t>Month</t>
  </si>
  <si>
    <t>Date</t>
  </si>
  <si>
    <t>Work Item Type</t>
  </si>
  <si>
    <t>Surf Request Id/ Project Id</t>
  </si>
  <si>
    <t>Project Name</t>
  </si>
  <si>
    <t>Task (Optional)</t>
  </si>
  <si>
    <t>Resource</t>
  </si>
  <si>
    <t>Team</t>
  </si>
  <si>
    <t>Vendor Name</t>
  </si>
  <si>
    <t>Actual Time (hour)</t>
  </si>
  <si>
    <t>Project Task</t>
  </si>
  <si>
    <t>PJR.0000366783</t>
  </si>
  <si>
    <t>PJR.0000366783 - AMA Wave 4</t>
  </si>
  <si>
    <t>Production/ BAU Support</t>
  </si>
  <si>
    <t>Dao Manh Ha</t>
  </si>
  <si>
    <t>EAI</t>
  </si>
  <si>
    <t>FPT</t>
  </si>
  <si>
    <t>Weekend Support</t>
  </si>
  <si>
    <t>Sep-26</t>
  </si>
  <si>
    <t>Leave</t>
  </si>
  <si>
    <t>Annual Leave</t>
  </si>
  <si>
    <t>Duong Xuan Tung</t>
  </si>
  <si>
    <t>Review and fixing issue for EAI IOM modules</t>
  </si>
  <si>
    <t>AMA_EAI_Internal_ Cross carriage order got stuck in submitted state_ TC32</t>
  </si>
  <si>
    <t>SR26H7850O - INC1551489 FAPI PRD pendingPaymentCall</t>
  </si>
  <si>
    <t>ITX_CBG_Orders_Payment Profile Change from Cash to Credit Card – Pending Posting Failed</t>
  </si>
  <si>
    <t>Unit testing Order process of IOM</t>
  </si>
  <si>
    <t>IOM/SPL Unit Testing</t>
  </si>
  <si>
    <t>Check discount component - Broadband Promotional Discount_44.582%_Perpetual</t>
  </si>
  <si>
    <t>SR26H7942Q - Enable discount components in BSCS - TS_UAT_SR26H7942Q_TC1.1 - Order failing in Idal</t>
  </si>
  <si>
    <t>API Timeout Error: /retrieve-services endpoint (Test Environment)</t>
  </si>
  <si>
    <t>Code review for ESPS</t>
  </si>
  <si>
    <t>Migration &amp; Coding ESPS/IOM</t>
  </si>
  <si>
    <t>Compax Production Support</t>
  </si>
  <si>
    <t>Mary Anne Fabia</t>
  </si>
  <si>
    <t>AMS</t>
  </si>
  <si>
    <t>Weekend support</t>
  </si>
  <si>
    <t>Iphone 18 pre-order</t>
  </si>
  <si>
    <t>Comp-Off / Off-in-Lieu</t>
  </si>
  <si>
    <t>Comp-Off</t>
  </si>
  <si>
    <t>Comp-off for 13-Sep</t>
  </si>
  <si>
    <t>Santos Conrado Jr</t>
  </si>
  <si>
    <t>Comp-Off In lieu of Sept 20 Weekend Support</t>
  </si>
  <si>
    <t>Nguyen Hoang</t>
  </si>
  <si>
    <t>DevOps</t>
  </si>
  <si>
    <t>CRM</t>
  </si>
  <si>
    <t>Daily: Health Check RDS Databases, EKS Cluster &amp; Pods
HFD DB script execution</t>
  </si>
  <si>
    <t>Daily: Health Check RDS Databases, EKS Cluster &amp; Pods
ADUAT/TRN Deployment</t>
  </si>
  <si>
    <t>Daily: Health Check RDS Databases, EKS Cluster &amp; Pods
Multiple TRN/HFD deployment
Dryrun deployment in preparation for Prod</t>
  </si>
  <si>
    <t>CHG0053691: AD DevHub - Product Catalogue deployment</t>
  </si>
  <si>
    <t>iPhone 18 Launch Monitoring</t>
  </si>
  <si>
    <t>Daily: Health Check RDS Databases, EKS Cluster &amp; Pods
HFD Deployment / Staging support</t>
  </si>
  <si>
    <t>Daily: Health Check RDS Databases, EKS Cluster &amp; Pods
FinOps initiative: raised request to delete resources</t>
  </si>
  <si>
    <t>Daily: Health Check RDS Databases, EKS Cluster &amp; Pods
HFD (Staging) support
Prod troubleshoot</t>
  </si>
  <si>
    <t>Daily: Health Check RDS Databases, EKS Cluster &amp; Pods</t>
  </si>
  <si>
    <t>Daily: Health Check RDS Databases, EKS Cluster &amp; Pods
Investigate and monitor high DB load</t>
  </si>
  <si>
    <t>Trieu Bao Lam</t>
  </si>
  <si>
    <t>- Join AMA Migration Testing</t>
  </si>
  <si>
    <t>Refactored Jenkins Pipeline: ArgoCD-based Helm Deployment</t>
  </si>
  <si>
    <t>- Prepare helmchart, persistent volume solution, argocd integration for NTS PROD
- NTS UAT deployment and testing support</t>
  </si>
  <si>
    <t>- Migrate EBS to EFS in NTS-UAT
- NTS UAT deployment and testing support</t>
  </si>
  <si>
    <t>- NTS Prod Specific Configuration - Resources, Replicas, Clustering
- NTS UAT deployment and testing support</t>
  </si>
  <si>
    <t>- Test EAI
- NTS UAT deployment and testing support</t>
  </si>
  <si>
    <t>- Test EAI
- NTS PROD/UAT deployment and testing support</t>
  </si>
  <si>
    <t>Ha Tuan Hoang</t>
  </si>
  <si>
    <t>Prepare for EAI Proxy deployment support</t>
  </si>
  <si>
    <t>Deployment support</t>
  </si>
  <si>
    <t>PH</t>
  </si>
  <si>
    <t>EAI deployment supoort testing</t>
  </si>
  <si>
    <t>Review and testing IOM, SPL modules</t>
  </si>
  <si>
    <t>SPL poller processor unit testing</t>
  </si>
  <si>
    <t>Code review and update for ESPS, check order failing from Ideal</t>
  </si>
  <si>
    <t>Code review and update for ESPS</t>
  </si>
  <si>
    <t>Deploying ESPS_Admin_Web on Weblogic</t>
  </si>
  <si>
    <t>Deployed ESPS_Admin_Web on Weblogic, checking issue with iom_order_tracking_gui</t>
  </si>
  <si>
    <t>Testing and fixing iom_order_tracking_gui issues</t>
  </si>
  <si>
    <t>Phan Van Manh</t>
  </si>
  <si>
    <t>No</t>
  </si>
  <si>
    <t>Name</t>
  </si>
  <si>
    <t>Fsoft Account</t>
  </si>
  <si>
    <t>Location</t>
  </si>
  <si>
    <t>Total MM</t>
  </si>
  <si>
    <t>Calendar WD per Month</t>
  </si>
  <si>
    <t>Actual Normal Working days</t>
  </si>
  <si>
    <t>OT Weekdays</t>
  </si>
  <si>
    <t>OT Weekends</t>
  </si>
  <si>
    <t>OT Holidays</t>
  </si>
  <si>
    <t>Leave occur</t>
  </si>
  <si>
    <t>Payable Leave days</t>
  </si>
  <si>
    <t>Leave Balance- Up to each month</t>
  </si>
  <si>
    <t>Leave Balance- After each month</t>
  </si>
  <si>
    <t>Used Annual Leaves</t>
  </si>
  <si>
    <t>Days off in lieu per month</t>
  </si>
  <si>
    <t>Used Days off in lieu</t>
  </si>
  <si>
    <t>HaDM</t>
  </si>
  <si>
    <t>Long onsite</t>
  </si>
  <si>
    <t>TungDX9</t>
  </si>
  <si>
    <t>Offshore</t>
  </si>
  <si>
    <t>Maryanne.fabia</t>
  </si>
  <si>
    <t>Santoscj</t>
  </si>
  <si>
    <t>HoangN22</t>
  </si>
  <si>
    <t>Lamtb2</t>
  </si>
  <si>
    <t>HoangHT12</t>
  </si>
  <si>
    <t>ManhPV16</t>
  </si>
  <si>
    <t>Singapore Holidays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</si>
</sst>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\-??_);_(@_)"/>
    <numFmt numFmtId="165" formatCode="[$-409]dd\-mmm\-yy;@"/>
    <numFmt numFmtId="166" formatCode="[$-409]d\-mmm\-yy;@"/>
    <numFmt numFmtId="167" formatCode="[$-409]mmm\-yy;@"/>
    <numFmt numFmtId="168" formatCode="[$]@"/>
  </numFmts>
  <fonts count="15">
    <font>
      <sz val="10"/>
      <name val="Arial"/>
      <family val="2"/>
    </font>
    <font>
      <sz val="12"/>
      <color theme="1"/>
      <name val="Calibri"/>
      <charset val="1"/>
    </font>
    <font>
      <sz val="11"/>
      <color theme="1"/>
      <name val="Segoe UI"/>
      <charset val="1"/>
    </font>
    <font>
      <sz val="11"/>
      <color theme="1"/>
      <name val="Calibri"/>
      <charset val="1"/>
    </font>
    <font>
      <b/>
      <sz val="11"/>
      <color rgb="FF000000"/>
      <name val="Calibri"/>
      <charset val="1"/>
    </font>
    <font>
      <sz val="12"/>
      <color rgb="FF000000"/>
      <name val="Calibri"/>
      <charset val="1"/>
    </font>
    <font>
      <b/>
      <sz val="11"/>
      <color rgb="FFFFFFFF"/>
      <name val="Calibri"/>
      <charset val="1"/>
    </font>
    <font>
      <b/>
      <sz val="11"/>
      <name val="Calibri"/>
      <charset val="1"/>
    </font>
    <font>
      <sz val="11"/>
      <name val="Calibri"/>
      <charset val="1"/>
    </font>
    <font>
      <sz val="11"/>
      <color rgb="FF000000"/>
      <name val="Calibri"/>
      <charset val="1"/>
    </font>
    <font>
      <sz val="11"/>
      <color rgb="FFFF0000"/>
      <name val="Calibri"/>
      <charset val="1"/>
    </font>
    <font>
      <sz val="9"/>
      <color theme="1"/>
      <name val="Arial"/>
      <charset val="1"/>
    </font>
    <font>
      <sz val="9"/>
      <color rgb="FF92D050"/>
      <name val="Arial"/>
      <charset val="1"/>
    </font>
    <font>
      <sz val="9"/>
      <color theme="9" tint="-0.249977111117893"/>
      <name val="Arial"/>
      <charset val="1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305496"/>
        <bgColor rgb="FF666699"/>
      </patternFill>
    </fill>
    <fill>
      <patternFill patternType="solid">
        <fgColor theme="9" tint="-0.499984740745262"/>
        <bgColor rgb="FF333300"/>
      </patternFill>
    </fill>
    <fill>
      <patternFill patternType="solid">
        <fgColor theme="9" tint="0.59987182226020086"/>
        <bgColor rgb="FFBFBFBF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5" tint="0.79989013336588644"/>
        <bgColor rgb="FFF2F2F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164" fontId="14" fillId="0" borderId="0" applyFont="0" applyBorder="0" applyAlignment="0" applyProtection="0"/>
    <xf numFmtId="164" fontId="14" fillId="0" borderId="0" applyFont="0" applyBorder="0" applyAlignment="0" applyProtection="0"/>
    <xf numFmtId="0" fontId="1" fillId="0" borderId="0"/>
    <xf numFmtId="0" fontId="1" fillId="0" borderId="0"/>
    <xf numFmtId="0" fontId="2" fillId="0" borderId="0"/>
    <xf numFmtId="165" fontId="3" fillId="0" borderId="0"/>
    <xf numFmtId="0" fontId="1" fillId="0" borderId="0"/>
  </cellStyleXfs>
  <cellXfs count="41">
    <xf numFmtId="0" fontId="0" fillId="0" borderId="0" xfId="0"/>
    <xf numFmtId="17" fontId="1" fillId="0" borderId="0" xfId="3" applyNumberFormat="1" applyAlignment="1">
      <alignment vertical="top"/>
    </xf>
    <xf numFmtId="166" fontId="1" fillId="0" borderId="0" xfId="3" applyNumberFormat="1" applyAlignment="1">
      <alignment horizontal="center" vertical="top"/>
    </xf>
    <xf numFmtId="0" fontId="1" fillId="0" borderId="0" xfId="3" applyAlignment="1">
      <alignment vertical="top"/>
    </xf>
    <xf numFmtId="0" fontId="1" fillId="0" borderId="0" xfId="3" applyAlignment="1">
      <alignment horizontal="center" vertical="top"/>
    </xf>
    <xf numFmtId="17" fontId="4" fillId="2" borderId="1" xfId="3" applyNumberFormat="1" applyFont="1" applyFill="1" applyBorder="1" applyAlignment="1">
      <alignment vertical="top" wrapText="1"/>
    </xf>
    <xf numFmtId="166" fontId="4" fillId="2" borderId="1" xfId="3" applyNumberFormat="1" applyFont="1" applyFill="1" applyBorder="1" applyAlignment="1">
      <alignment horizontal="center" vertical="top" wrapText="1"/>
    </xf>
    <xf numFmtId="0" fontId="4" fillId="2" borderId="1" xfId="3" applyFont="1" applyFill="1" applyBorder="1" applyAlignment="1">
      <alignment horizontal="center" vertical="top" wrapText="1"/>
    </xf>
    <xf numFmtId="0" fontId="5" fillId="0" borderId="0" xfId="3" applyFont="1"/>
    <xf numFmtId="167" fontId="1" fillId="0" borderId="0" xfId="3" applyNumberFormat="1"/>
    <xf numFmtId="166" fontId="1" fillId="0" borderId="0" xfId="3" applyNumberFormat="1"/>
    <xf numFmtId="0" fontId="3" fillId="0" borderId="0" xfId="3" applyFont="1"/>
    <xf numFmtId="0" fontId="3" fillId="0" borderId="0" xfId="3" applyFont="1" applyAlignment="1">
      <alignment horizontal="center" vertical="center"/>
    </xf>
    <xf numFmtId="0" fontId="1" fillId="0" borderId="0" xfId="3" applyAlignment="1">
      <alignment vertical="top" wrapText="1"/>
    </xf>
    <xf numFmtId="0" fontId="3" fillId="3" borderId="0" xfId="3" applyFont="1" applyFill="1"/>
    <xf numFmtId="167" fontId="3" fillId="4" borderId="0" xfId="3" applyNumberFormat="1" applyFont="1" applyFill="1"/>
    <xf numFmtId="0" fontId="6" fillId="5" borderId="2" xfId="3" applyFont="1" applyFill="1" applyBorder="1" applyAlignment="1">
      <alignment vertical="center" wrapText="1"/>
    </xf>
    <xf numFmtId="0" fontId="6" fillId="5" borderId="3" xfId="3" applyFont="1" applyFill="1" applyBorder="1" applyAlignment="1">
      <alignment vertical="center" wrapText="1"/>
    </xf>
    <xf numFmtId="0" fontId="6" fillId="6" borderId="1" xfId="3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horizontal="center" vertical="center" wrapText="1"/>
    </xf>
    <xf numFmtId="0" fontId="7" fillId="2" borderId="4" xfId="3" applyFont="1" applyFill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/>
    </xf>
    <xf numFmtId="0" fontId="3" fillId="4" borderId="5" xfId="3" applyFont="1" applyFill="1" applyBorder="1"/>
    <xf numFmtId="0" fontId="9" fillId="4" borderId="5" xfId="3" applyFont="1" applyFill="1" applyBorder="1" applyAlignment="1">
      <alignment vertical="top"/>
    </xf>
    <xf numFmtId="164" fontId="9" fillId="7" borderId="5" xfId="1" applyFont="1" applyFill="1" applyBorder="1" applyAlignment="1" applyProtection="1">
      <alignment vertical="top"/>
    </xf>
    <xf numFmtId="164" fontId="9" fillId="7" borderId="5" xfId="3" applyNumberFormat="1" applyFont="1" applyFill="1" applyBorder="1" applyAlignment="1">
      <alignment vertical="top"/>
    </xf>
    <xf numFmtId="0" fontId="9" fillId="7" borderId="5" xfId="3" applyFont="1" applyFill="1" applyBorder="1" applyAlignment="1">
      <alignment vertical="top"/>
    </xf>
    <xf numFmtId="0" fontId="9" fillId="8" borderId="5" xfId="3" applyFont="1" applyFill="1" applyBorder="1" applyAlignment="1">
      <alignment vertical="top"/>
    </xf>
    <xf numFmtId="0" fontId="10" fillId="8" borderId="5" xfId="3" applyFont="1" applyFill="1" applyBorder="1" applyAlignment="1">
      <alignment vertical="top"/>
    </xf>
    <xf numFmtId="0" fontId="3" fillId="0" borderId="5" xfId="3" applyFont="1" applyBorder="1" applyAlignment="1">
      <alignment horizontal="center"/>
    </xf>
    <xf numFmtId="0" fontId="2" fillId="0" borderId="0" xfId="5"/>
    <xf numFmtId="164" fontId="11" fillId="0" borderId="0" xfId="2" applyFont="1" applyBorder="1" applyAlignment="1" applyProtection="1"/>
    <xf numFmtId="166" fontId="11" fillId="0" borderId="0" xfId="2" applyNumberFormat="1" applyFont="1" applyBorder="1" applyAlignment="1" applyProtection="1"/>
    <xf numFmtId="166" fontId="11" fillId="0" borderId="0" xfId="6" applyNumberFormat="1" applyFont="1"/>
    <xf numFmtId="164" fontId="12" fillId="0" borderId="0" xfId="2" applyFont="1" applyBorder="1" applyAlignment="1" applyProtection="1">
      <alignment horizontal="left" vertical="center"/>
    </xf>
    <xf numFmtId="164" fontId="13" fillId="0" borderId="0" xfId="2" applyFont="1" applyBorder="1" applyAlignment="1" applyProtection="1"/>
    <xf numFmtId="164" fontId="12" fillId="0" borderId="0" xfId="2" applyFont="1" applyBorder="1" applyAlignment="1" applyProtection="1"/>
    <xf numFmtId="168" fontId="12" fillId="0" borderId="0" xfId="6" applyNumberFormat="1" applyFont="1" applyAlignment="1">
      <alignment horizontal="left" vertical="center"/>
    </xf>
    <xf numFmtId="166" fontId="12" fillId="9" borderId="0" xfId="6" applyNumberFormat="1" applyFont="1" applyFill="1"/>
    <xf numFmtId="49" fontId="12" fillId="0" borderId="0" xfId="2" applyNumberFormat="1" applyFont="1" applyBorder="1" applyAlignment="1" applyProtection="1">
      <alignment horizontal="center" vertical="center"/>
    </xf>
    <xf numFmtId="164" fontId="2" fillId="0" borderId="0" xfId="5" applyNumberFormat="1"/>
  </cellXfs>
  <cellStyles count="8">
    <cellStyle name="Comma" xfId="1" builtinId="3"/>
    <cellStyle name="Comma 2" xfId="2" xr:uid="{00000000-0005-0000-0000-000006000000}"/>
    <cellStyle name="Normal" xfId="0" builtinId="0"/>
    <cellStyle name="Normal 2" xfId="4" xr:uid="{00000000-0005-0000-0000-000008000000}"/>
    <cellStyle name="Normal 3" xfId="5" xr:uid="{00000000-0005-0000-0000-000009000000}"/>
    <cellStyle name="Normal 4" xfId="3" xr:uid="{00000000-0005-0000-0000-000007000000}"/>
    <cellStyle name="Normal 76" xfId="6" xr:uid="{00000000-0005-0000-0000-00000A000000}"/>
    <cellStyle name="Normal 79" xfId="7" xr:uid="{00000000-0005-0000-0000-00000B000000}"/>
  </cellStyles>
  <dxfs count="5">
    <dxf>
      <font>
        <color rgb="FFC55A11"/>
      </font>
    </dxf>
    <dxf>
      <font>
        <color rgb="FFFF0000"/>
      </font>
    </dxf>
    <dxf>
      <font>
        <color rgb="FFC55A11"/>
      </font>
    </dxf>
    <dxf>
      <font>
        <color rgb="FFFF0000"/>
      </font>
    </dxf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BE5D6"/>
      <rgbColor rgb="FF3366FF"/>
      <rgbColor rgb="FF33CCCC"/>
      <rgbColor rgb="FF92D05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857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imesheet" displayName="Timesheet" ref="A1:J183" totalsRowShown="0">
  <autoFilter ref="A1:J183" xr:uid="{00000000-0009-0000-0100-000002000000}"/>
  <tableColumns count="10">
    <tableColumn id="1" xr3:uid="{00000000-0010-0000-0000-000001000000}" name="Month"/>
    <tableColumn id="2" xr3:uid="{00000000-0010-0000-0000-000002000000}" name="Date"/>
    <tableColumn id="3" xr3:uid="{00000000-0010-0000-0000-000003000000}" name="Work Item Type"/>
    <tableColumn id="4" xr3:uid="{00000000-0010-0000-0000-000004000000}" name="Surf Request Id/ Project Id"/>
    <tableColumn id="5" xr3:uid="{00000000-0010-0000-0000-000005000000}" name="Project Name"/>
    <tableColumn id="6" xr3:uid="{00000000-0010-0000-0000-000006000000}" name="Task (Optional)"/>
    <tableColumn id="7" xr3:uid="{00000000-0010-0000-0000-000007000000}" name="Resource"/>
    <tableColumn id="8" xr3:uid="{00000000-0010-0000-0000-000008000000}" name="Team"/>
    <tableColumn id="9" xr3:uid="{00000000-0010-0000-0000-000009000000}" name="Vendor Name"/>
    <tableColumn id="10" xr3:uid="{00000000-0010-0000-0000-00000A000000}" name="Actual Time (hour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Summary" displayName="Summary" ref="A2:R10" totalsRowShown="0">
  <autoFilter ref="A2:R10" xr:uid="{00000000-0009-0000-0100-000001000000}"/>
  <tableColumns count="18">
    <tableColumn id="1" xr3:uid="{00000000-0010-0000-0100-000001000000}" name="No"/>
    <tableColumn id="2" xr3:uid="{00000000-0010-0000-0100-000002000000}" name="Name"/>
    <tableColumn id="3" xr3:uid="{00000000-0010-0000-0100-000003000000}" name="Fsoft Account"/>
    <tableColumn id="4" xr3:uid="{00000000-0010-0000-0100-000004000000}" name="Team"/>
    <tableColumn id="5" xr3:uid="{00000000-0010-0000-0100-000005000000}" name="Location"/>
    <tableColumn id="6" xr3:uid="{00000000-0010-0000-0100-000006000000}" name="Total MM"/>
    <tableColumn id="7" xr3:uid="{00000000-0010-0000-0100-000007000000}" name="Calendar WD per Month"/>
    <tableColumn id="8" xr3:uid="{00000000-0010-0000-0100-000008000000}" name="Actual Normal Working days"/>
    <tableColumn id="9" xr3:uid="{00000000-0010-0000-0100-000009000000}" name="OT Weekdays"/>
    <tableColumn id="10" xr3:uid="{00000000-0010-0000-0100-00000A000000}" name="OT Weekends"/>
    <tableColumn id="11" xr3:uid="{00000000-0010-0000-0100-00000B000000}" name="OT Holidays"/>
    <tableColumn id="12" xr3:uid="{00000000-0010-0000-0100-00000C000000}" name="Leave occur"/>
    <tableColumn id="13" xr3:uid="{00000000-0010-0000-0100-00000D000000}" name="Payable Leave days"/>
    <tableColumn id="14" xr3:uid="{00000000-0010-0000-0100-00000E000000}" name="Leave Balance- Up to each month"/>
    <tableColumn id="15" xr3:uid="{00000000-0010-0000-0100-00000F000000}" name="Leave Balance- After each month"/>
    <tableColumn id="16" xr3:uid="{00000000-0010-0000-0100-000010000000}" name="Used Annual Leaves"/>
    <tableColumn id="17" xr3:uid="{00000000-0010-0000-0100-000011000000}" name="Days off in lieu per month"/>
    <tableColumn id="18" xr3:uid="{00000000-0010-0000-0100-000012000000}" name="Used Days off in lieu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A183"/>
  <sheetViews>
    <sheetView tabSelected="1" zoomScale="95" zoomScaleNormal="95" workbookViewId="0">
      <pane ySplit="1" topLeftCell="A35" activePane="bottomLeft" state="frozen"/>
      <selection pane="bottomLeft" activeCell="C110" sqref="C110"/>
    </sheetView>
  </sheetViews>
  <sheetFormatPr defaultColWidth="14.42578125" defaultRowHeight="15.75"/>
  <cols>
    <col min="1" max="1" width="9" style="1" customWidth="1"/>
    <col min="2" max="2" width="10.5703125" style="2" customWidth="1"/>
    <col min="3" max="3" width="16.5703125" style="3" customWidth="1"/>
    <col min="4" max="4" width="25.42578125" style="3" customWidth="1"/>
    <col min="5" max="5" width="40.5703125" style="3" customWidth="1"/>
    <col min="6" max="6" width="61" style="3" customWidth="1"/>
    <col min="7" max="7" width="21" style="3" customWidth="1"/>
    <col min="8" max="8" width="12.7109375" style="3" customWidth="1"/>
    <col min="9" max="9" width="14.85546875" style="3" customWidth="1"/>
    <col min="10" max="10" width="18.85546875" style="4" customWidth="1"/>
    <col min="12" max="12" width="39.5703125" customWidth="1"/>
  </cols>
  <sheetData>
    <row r="1" spans="1:27" s="8" customFormat="1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27">
      <c r="A2" s="9">
        <v>46291</v>
      </c>
      <c r="B2" s="10">
        <v>46266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8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>
      <c r="A3" s="9">
        <v>46291</v>
      </c>
      <c r="B3" s="10">
        <v>46267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8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>
      <c r="A4" s="9">
        <v>46291</v>
      </c>
      <c r="B4" s="10">
        <v>46268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8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>
      <c r="A5" s="9">
        <v>46291</v>
      </c>
      <c r="B5" s="10">
        <v>46269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8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>
      <c r="A6" s="9">
        <v>46291</v>
      </c>
      <c r="B6" s="10">
        <v>46272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8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>
      <c r="A7" s="9">
        <v>46291</v>
      </c>
      <c r="B7" s="10">
        <v>46273</v>
      </c>
      <c r="C7" s="3" t="s">
        <v>10</v>
      </c>
      <c r="D7" s="3" t="s">
        <v>11</v>
      </c>
      <c r="E7" s="3" t="s">
        <v>12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8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>
      <c r="A8" s="9">
        <v>46291</v>
      </c>
      <c r="B8" s="10">
        <v>46274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8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>
      <c r="A9" s="9">
        <v>46291</v>
      </c>
      <c r="B9" s="10">
        <v>46275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8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>
      <c r="A10" s="9">
        <v>46291</v>
      </c>
      <c r="B10" s="10">
        <v>46276</v>
      </c>
      <c r="C10" s="3" t="s">
        <v>10</v>
      </c>
      <c r="D10" s="3" t="s">
        <v>11</v>
      </c>
      <c r="E10" s="3" t="s">
        <v>12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8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>
      <c r="A11" s="9">
        <v>46291</v>
      </c>
      <c r="B11" s="10">
        <v>46277</v>
      </c>
      <c r="C11" s="3" t="s">
        <v>17</v>
      </c>
      <c r="D11" s="3" t="s">
        <v>11</v>
      </c>
      <c r="E11" s="3" t="s">
        <v>12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8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>
      <c r="A12" s="9">
        <v>46291</v>
      </c>
      <c r="B12" s="10">
        <v>46278</v>
      </c>
      <c r="C12" s="3" t="s">
        <v>17</v>
      </c>
      <c r="D12" s="3" t="s">
        <v>11</v>
      </c>
      <c r="E12" s="3" t="s">
        <v>12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8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>
      <c r="A13" s="9">
        <v>46291</v>
      </c>
      <c r="B13" s="10">
        <v>46279</v>
      </c>
      <c r="C13" s="3" t="s">
        <v>10</v>
      </c>
      <c r="D13" s="3" t="s">
        <v>11</v>
      </c>
      <c r="E13" s="3" t="s">
        <v>12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8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>
      <c r="A14" s="9">
        <v>46291</v>
      </c>
      <c r="B14" s="10">
        <v>46280</v>
      </c>
      <c r="C14" s="3" t="s">
        <v>10</v>
      </c>
      <c r="D14" s="3" t="s">
        <v>11</v>
      </c>
      <c r="E14" s="3" t="s">
        <v>12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8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>
      <c r="A15" s="9">
        <v>46291</v>
      </c>
      <c r="B15" s="10">
        <v>46281</v>
      </c>
      <c r="C15" s="3" t="s">
        <v>10</v>
      </c>
      <c r="D15" s="3" t="s">
        <v>11</v>
      </c>
      <c r="E15" s="3" t="s">
        <v>12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8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>
      <c r="A16" s="9">
        <v>46291</v>
      </c>
      <c r="B16" s="10">
        <v>46282</v>
      </c>
      <c r="C16" s="3" t="s">
        <v>10</v>
      </c>
      <c r="D16" s="3" t="s">
        <v>11</v>
      </c>
      <c r="E16" s="3" t="s">
        <v>12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8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>
      <c r="A17" s="9">
        <v>46291</v>
      </c>
      <c r="B17" s="10">
        <v>46283</v>
      </c>
      <c r="C17" s="3" t="s">
        <v>10</v>
      </c>
      <c r="D17" s="3" t="s">
        <v>11</v>
      </c>
      <c r="E17" s="3" t="s">
        <v>12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8</v>
      </c>
      <c r="K17" s="12"/>
    </row>
    <row r="18" spans="1:27">
      <c r="A18" s="9">
        <v>46291</v>
      </c>
      <c r="B18" s="10">
        <v>46286</v>
      </c>
      <c r="C18" s="3" t="s">
        <v>10</v>
      </c>
      <c r="D18" s="3" t="s">
        <v>11</v>
      </c>
      <c r="E18" s="3" t="s">
        <v>12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8</v>
      </c>
      <c r="K18" s="12"/>
    </row>
    <row r="19" spans="1:27">
      <c r="A19" s="9">
        <v>46291</v>
      </c>
      <c r="B19" s="10">
        <v>46287</v>
      </c>
      <c r="C19" s="3" t="s">
        <v>10</v>
      </c>
      <c r="D19" s="3" t="s">
        <v>11</v>
      </c>
      <c r="E19" s="3" t="s">
        <v>12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8</v>
      </c>
      <c r="K19" s="12"/>
    </row>
    <row r="20" spans="1:27">
      <c r="A20" s="9">
        <v>46291</v>
      </c>
      <c r="B20" s="10">
        <v>46288</v>
      </c>
      <c r="C20" s="3" t="s">
        <v>10</v>
      </c>
      <c r="D20" s="3" t="s">
        <v>11</v>
      </c>
      <c r="E20" s="3" t="s">
        <v>12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8</v>
      </c>
      <c r="K20" s="12"/>
    </row>
    <row r="21" spans="1:27">
      <c r="A21" s="9">
        <v>46291</v>
      </c>
      <c r="B21" s="10">
        <v>46289</v>
      </c>
      <c r="C21" s="3" t="s">
        <v>10</v>
      </c>
      <c r="D21" s="3" t="s">
        <v>11</v>
      </c>
      <c r="E21" s="3" t="s">
        <v>12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8</v>
      </c>
      <c r="K21" s="12"/>
    </row>
    <row r="22" spans="1:27">
      <c r="A22" s="9">
        <v>46291</v>
      </c>
      <c r="B22" s="10">
        <v>46290</v>
      </c>
      <c r="C22" s="3" t="s">
        <v>10</v>
      </c>
      <c r="D22" s="3" t="s">
        <v>11</v>
      </c>
      <c r="E22" s="3" t="s">
        <v>12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8</v>
      </c>
      <c r="K22" s="12"/>
    </row>
    <row r="23" spans="1:27">
      <c r="A23" s="9">
        <v>46291</v>
      </c>
      <c r="B23" s="10">
        <v>46260</v>
      </c>
      <c r="C23" s="3" t="s">
        <v>17</v>
      </c>
      <c r="D23" s="3" t="s">
        <v>11</v>
      </c>
      <c r="E23" s="3" t="s">
        <v>12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8</v>
      </c>
      <c r="K23" s="12"/>
    </row>
    <row r="24" spans="1:27">
      <c r="A24" s="9">
        <v>46291</v>
      </c>
      <c r="B24" s="10">
        <v>46293</v>
      </c>
      <c r="C24" s="3" t="s">
        <v>10</v>
      </c>
      <c r="D24" s="3" t="s">
        <v>11</v>
      </c>
      <c r="E24" s="3" t="s">
        <v>12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8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>
      <c r="A25" s="9">
        <v>46291</v>
      </c>
      <c r="B25" s="10">
        <v>46294</v>
      </c>
      <c r="C25" s="3" t="s">
        <v>10</v>
      </c>
      <c r="D25" s="3" t="s">
        <v>11</v>
      </c>
      <c r="E25" s="3" t="s">
        <v>12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8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>
      <c r="A26" s="9">
        <v>46291</v>
      </c>
      <c r="B26" s="10">
        <v>46295</v>
      </c>
      <c r="C26" s="3" t="s">
        <v>10</v>
      </c>
      <c r="D26" s="3" t="s">
        <v>11</v>
      </c>
      <c r="E26" s="3" t="s">
        <v>12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8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>
      <c r="A27" s="9" t="s">
        <v>18</v>
      </c>
      <c r="B27" s="10">
        <v>46266</v>
      </c>
      <c r="C27" s="3" t="s">
        <v>19</v>
      </c>
      <c r="D27" s="3" t="s">
        <v>19</v>
      </c>
      <c r="E27" s="3" t="s">
        <v>19</v>
      </c>
      <c r="F27" s="3" t="s">
        <v>20</v>
      </c>
      <c r="G27" s="3" t="s">
        <v>21</v>
      </c>
      <c r="H27" s="3" t="s">
        <v>15</v>
      </c>
      <c r="I27" s="3" t="s">
        <v>16</v>
      </c>
      <c r="J27" s="4">
        <v>8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>
      <c r="A28" s="9" t="s">
        <v>18</v>
      </c>
      <c r="B28" s="10">
        <v>46267</v>
      </c>
      <c r="C28" s="3" t="s">
        <v>19</v>
      </c>
      <c r="D28" s="3" t="s">
        <v>19</v>
      </c>
      <c r="E28" s="3" t="s">
        <v>19</v>
      </c>
      <c r="F28" s="3" t="s">
        <v>20</v>
      </c>
      <c r="G28" s="3" t="s">
        <v>21</v>
      </c>
      <c r="H28" s="3" t="s">
        <v>15</v>
      </c>
      <c r="I28" s="3" t="s">
        <v>16</v>
      </c>
      <c r="J28" s="4">
        <v>8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>
      <c r="A29" s="9" t="s">
        <v>18</v>
      </c>
      <c r="B29" s="10">
        <v>46268</v>
      </c>
      <c r="C29" s="3" t="s">
        <v>10</v>
      </c>
      <c r="D29" s="3" t="s">
        <v>15</v>
      </c>
      <c r="E29" s="3" t="s">
        <v>22</v>
      </c>
      <c r="G29" s="3" t="s">
        <v>21</v>
      </c>
      <c r="H29" s="3" t="s">
        <v>15</v>
      </c>
      <c r="I29" s="3" t="s">
        <v>16</v>
      </c>
      <c r="J29" s="4">
        <v>8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>
      <c r="A30" s="9" t="s">
        <v>18</v>
      </c>
      <c r="B30" s="10">
        <v>46269</v>
      </c>
      <c r="C30" s="3" t="s">
        <v>10</v>
      </c>
      <c r="D30" s="3" t="s">
        <v>15</v>
      </c>
      <c r="E30" s="3" t="s">
        <v>22</v>
      </c>
      <c r="G30" s="3" t="s">
        <v>21</v>
      </c>
      <c r="H30" s="3" t="s">
        <v>15</v>
      </c>
      <c r="I30" s="3" t="s">
        <v>16</v>
      </c>
      <c r="J30" s="4">
        <v>8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>
      <c r="A31" s="9" t="s">
        <v>18</v>
      </c>
      <c r="B31" s="10">
        <v>46272</v>
      </c>
      <c r="C31" s="3" t="s">
        <v>10</v>
      </c>
      <c r="D31" s="3" t="s">
        <v>15</v>
      </c>
      <c r="E31" s="3" t="s">
        <v>22</v>
      </c>
      <c r="G31" s="3" t="s">
        <v>21</v>
      </c>
      <c r="H31" s="3" t="s">
        <v>15</v>
      </c>
      <c r="I31" s="3" t="s">
        <v>16</v>
      </c>
      <c r="J31" s="4">
        <v>8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>
      <c r="A32" s="9" t="s">
        <v>18</v>
      </c>
      <c r="B32" s="10">
        <v>46273</v>
      </c>
      <c r="C32" s="3" t="s">
        <v>10</v>
      </c>
      <c r="D32" s="3" t="s">
        <v>15</v>
      </c>
      <c r="E32" s="3" t="s">
        <v>23</v>
      </c>
      <c r="G32" s="3" t="s">
        <v>21</v>
      </c>
      <c r="H32" s="3" t="s">
        <v>15</v>
      </c>
      <c r="I32" s="3" t="s">
        <v>16</v>
      </c>
      <c r="J32" s="4">
        <v>8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>
      <c r="A33" s="9" t="s">
        <v>18</v>
      </c>
      <c r="B33" s="10">
        <v>46274</v>
      </c>
      <c r="C33" s="3" t="s">
        <v>10</v>
      </c>
      <c r="D33" s="3" t="s">
        <v>15</v>
      </c>
      <c r="E33" s="3" t="s">
        <v>24</v>
      </c>
      <c r="G33" s="3" t="s">
        <v>21</v>
      </c>
      <c r="H33" s="3" t="s">
        <v>15</v>
      </c>
      <c r="I33" s="3" t="s">
        <v>16</v>
      </c>
      <c r="J33" s="4">
        <v>8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>
      <c r="A34" s="9" t="s">
        <v>18</v>
      </c>
      <c r="B34" s="10">
        <v>46275</v>
      </c>
      <c r="C34" s="3" t="s">
        <v>10</v>
      </c>
      <c r="D34" s="3" t="s">
        <v>15</v>
      </c>
      <c r="E34" s="3" t="s">
        <v>25</v>
      </c>
      <c r="G34" s="3" t="s">
        <v>21</v>
      </c>
      <c r="H34" s="3" t="s">
        <v>15</v>
      </c>
      <c r="I34" s="3" t="s">
        <v>16</v>
      </c>
      <c r="J34" s="4">
        <v>8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>
      <c r="A35" s="9" t="s">
        <v>18</v>
      </c>
      <c r="B35" s="10">
        <v>46276</v>
      </c>
      <c r="C35" s="3" t="s">
        <v>10</v>
      </c>
      <c r="D35" s="3" t="s">
        <v>15</v>
      </c>
      <c r="E35" s="3" t="s">
        <v>26</v>
      </c>
      <c r="G35" s="3" t="s">
        <v>21</v>
      </c>
      <c r="H35" s="3" t="s">
        <v>15</v>
      </c>
      <c r="I35" s="3" t="s">
        <v>16</v>
      </c>
      <c r="J35" s="4">
        <v>8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>
      <c r="A36" s="9" t="s">
        <v>18</v>
      </c>
      <c r="B36" s="10">
        <v>46279</v>
      </c>
      <c r="C36" s="3" t="s">
        <v>10</v>
      </c>
      <c r="D36" s="3" t="s">
        <v>15</v>
      </c>
      <c r="E36" s="3" t="s">
        <v>27</v>
      </c>
      <c r="G36" s="3" t="s">
        <v>21</v>
      </c>
      <c r="H36" s="3" t="s">
        <v>15</v>
      </c>
      <c r="I36" s="3" t="s">
        <v>16</v>
      </c>
      <c r="J36" s="4">
        <v>8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>
      <c r="A37" s="9" t="s">
        <v>18</v>
      </c>
      <c r="B37" s="10">
        <v>46280</v>
      </c>
      <c r="C37" s="3" t="s">
        <v>10</v>
      </c>
      <c r="D37" s="3" t="s">
        <v>15</v>
      </c>
      <c r="E37" s="3" t="s">
        <v>28</v>
      </c>
      <c r="G37" s="3" t="s">
        <v>21</v>
      </c>
      <c r="H37" s="3" t="s">
        <v>15</v>
      </c>
      <c r="I37" s="3" t="s">
        <v>16</v>
      </c>
      <c r="J37" s="4">
        <v>8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>
      <c r="A38" s="9" t="s">
        <v>18</v>
      </c>
      <c r="B38" s="10">
        <v>46281</v>
      </c>
      <c r="C38" s="3" t="s">
        <v>10</v>
      </c>
      <c r="D38" s="3" t="s">
        <v>15</v>
      </c>
      <c r="E38" s="3" t="s">
        <v>27</v>
      </c>
      <c r="G38" s="3" t="s">
        <v>21</v>
      </c>
      <c r="H38" s="3" t="s">
        <v>15</v>
      </c>
      <c r="I38" s="3" t="s">
        <v>16</v>
      </c>
      <c r="J38" s="4">
        <v>8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>
      <c r="A39" s="9" t="s">
        <v>18</v>
      </c>
      <c r="B39" s="10">
        <v>46282</v>
      </c>
      <c r="C39" s="3" t="s">
        <v>10</v>
      </c>
      <c r="D39" s="3" t="s">
        <v>15</v>
      </c>
      <c r="E39" s="3" t="s">
        <v>27</v>
      </c>
      <c r="G39" s="3" t="s">
        <v>21</v>
      </c>
      <c r="H39" s="3" t="s">
        <v>15</v>
      </c>
      <c r="I39" s="3" t="s">
        <v>16</v>
      </c>
      <c r="J39" s="4">
        <v>8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>
      <c r="A40" s="9" t="s">
        <v>18</v>
      </c>
      <c r="B40" s="10">
        <v>46283</v>
      </c>
      <c r="C40" s="3" t="s">
        <v>10</v>
      </c>
      <c r="D40" s="3" t="s">
        <v>15</v>
      </c>
      <c r="E40" s="3" t="s">
        <v>29</v>
      </c>
      <c r="G40" s="3" t="s">
        <v>21</v>
      </c>
      <c r="H40" s="3" t="s">
        <v>15</v>
      </c>
      <c r="I40" s="3" t="s">
        <v>16</v>
      </c>
      <c r="J40" s="4">
        <v>8</v>
      </c>
      <c r="K40" s="12"/>
    </row>
    <row r="41" spans="1:27">
      <c r="A41" s="9" t="s">
        <v>18</v>
      </c>
      <c r="B41" s="10">
        <v>46286</v>
      </c>
      <c r="C41" s="3" t="s">
        <v>10</v>
      </c>
      <c r="D41" s="3" t="s">
        <v>15</v>
      </c>
      <c r="E41" s="3" t="s">
        <v>29</v>
      </c>
      <c r="G41" s="3" t="s">
        <v>21</v>
      </c>
      <c r="H41" s="3" t="s">
        <v>15</v>
      </c>
      <c r="I41" s="3" t="s">
        <v>16</v>
      </c>
      <c r="J41" s="4">
        <v>8</v>
      </c>
      <c r="K41" s="12"/>
    </row>
    <row r="42" spans="1:27">
      <c r="A42" s="9" t="s">
        <v>18</v>
      </c>
      <c r="B42" s="10">
        <v>46287</v>
      </c>
      <c r="C42" s="3" t="s">
        <v>10</v>
      </c>
      <c r="D42" s="3" t="s">
        <v>15</v>
      </c>
      <c r="E42" s="3" t="s">
        <v>30</v>
      </c>
      <c r="G42" s="3" t="s">
        <v>21</v>
      </c>
      <c r="H42" s="3" t="s">
        <v>15</v>
      </c>
      <c r="I42" s="3" t="s">
        <v>16</v>
      </c>
      <c r="J42" s="4">
        <v>8</v>
      </c>
      <c r="K42" s="12"/>
    </row>
    <row r="43" spans="1:27">
      <c r="A43" s="9" t="s">
        <v>18</v>
      </c>
      <c r="B43" s="10">
        <v>46288</v>
      </c>
      <c r="C43" s="3" t="s">
        <v>10</v>
      </c>
      <c r="D43" s="3" t="s">
        <v>15</v>
      </c>
      <c r="E43" s="3" t="s">
        <v>31</v>
      </c>
      <c r="G43" s="3" t="s">
        <v>21</v>
      </c>
      <c r="H43" s="3" t="s">
        <v>15</v>
      </c>
      <c r="I43" s="3" t="s">
        <v>16</v>
      </c>
      <c r="J43" s="4">
        <v>8</v>
      </c>
      <c r="K43" s="12"/>
    </row>
    <row r="44" spans="1:27">
      <c r="A44" s="9" t="s">
        <v>18</v>
      </c>
      <c r="B44" s="10">
        <v>46289</v>
      </c>
      <c r="C44" s="3" t="s">
        <v>10</v>
      </c>
      <c r="D44" s="3" t="s">
        <v>15</v>
      </c>
      <c r="E44" s="3" t="s">
        <v>31</v>
      </c>
      <c r="G44" s="3" t="s">
        <v>21</v>
      </c>
      <c r="H44" s="3" t="s">
        <v>15</v>
      </c>
      <c r="I44" s="3" t="s">
        <v>16</v>
      </c>
      <c r="J44" s="4">
        <v>8</v>
      </c>
      <c r="K44" s="12"/>
    </row>
    <row r="45" spans="1:27">
      <c r="A45" s="9" t="s">
        <v>18</v>
      </c>
      <c r="B45" s="10">
        <v>46290</v>
      </c>
      <c r="C45" s="3" t="s">
        <v>10</v>
      </c>
      <c r="D45" s="3" t="s">
        <v>15</v>
      </c>
      <c r="E45" s="3" t="s">
        <v>31</v>
      </c>
      <c r="G45" s="3" t="s">
        <v>21</v>
      </c>
      <c r="H45" s="3" t="s">
        <v>15</v>
      </c>
      <c r="I45" s="3" t="s">
        <v>16</v>
      </c>
      <c r="J45" s="4">
        <v>8</v>
      </c>
      <c r="K45" s="12"/>
    </row>
    <row r="46" spans="1:27">
      <c r="A46" s="9" t="s">
        <v>18</v>
      </c>
      <c r="B46" s="10">
        <v>46293</v>
      </c>
      <c r="C46" s="3" t="s">
        <v>10</v>
      </c>
      <c r="D46" s="3" t="s">
        <v>15</v>
      </c>
      <c r="E46" s="3" t="s">
        <v>32</v>
      </c>
      <c r="G46" s="3" t="s">
        <v>21</v>
      </c>
      <c r="H46" s="3" t="s">
        <v>15</v>
      </c>
      <c r="I46" s="3" t="s">
        <v>16</v>
      </c>
      <c r="J46" s="4">
        <v>8</v>
      </c>
      <c r="K46" s="12"/>
    </row>
    <row r="47" spans="1:27">
      <c r="A47" s="9" t="s">
        <v>18</v>
      </c>
      <c r="B47" s="10">
        <v>46294</v>
      </c>
      <c r="C47" s="3" t="s">
        <v>10</v>
      </c>
      <c r="D47" s="3" t="s">
        <v>15</v>
      </c>
      <c r="E47" s="3" t="s">
        <v>32</v>
      </c>
      <c r="G47" s="3" t="s">
        <v>21</v>
      </c>
      <c r="H47" s="3" t="s">
        <v>15</v>
      </c>
      <c r="I47" s="3" t="s">
        <v>16</v>
      </c>
      <c r="J47" s="4">
        <v>8</v>
      </c>
    </row>
    <row r="48" spans="1:27">
      <c r="A48" s="9" t="s">
        <v>18</v>
      </c>
      <c r="B48" s="10">
        <v>46295</v>
      </c>
      <c r="C48" s="3" t="s">
        <v>10</v>
      </c>
      <c r="D48" s="3" t="s">
        <v>15</v>
      </c>
      <c r="E48" s="3" t="s">
        <v>32</v>
      </c>
      <c r="G48" s="3" t="s">
        <v>21</v>
      </c>
      <c r="H48" s="3" t="s">
        <v>15</v>
      </c>
      <c r="I48" s="3" t="s">
        <v>16</v>
      </c>
      <c r="J48" s="4">
        <v>8</v>
      </c>
    </row>
    <row r="49" spans="1:10">
      <c r="A49" s="9" t="s">
        <v>18</v>
      </c>
      <c r="B49" s="10">
        <v>46266</v>
      </c>
      <c r="C49" s="3" t="s">
        <v>10</v>
      </c>
      <c r="D49" s="3" t="s">
        <v>33</v>
      </c>
      <c r="E49" s="3" t="s">
        <v>33</v>
      </c>
      <c r="F49" s="3" t="s">
        <v>33</v>
      </c>
      <c r="G49" s="3" t="s">
        <v>34</v>
      </c>
      <c r="H49" s="3" t="s">
        <v>35</v>
      </c>
      <c r="I49" s="3" t="s">
        <v>16</v>
      </c>
      <c r="J49" s="4">
        <v>8</v>
      </c>
    </row>
    <row r="50" spans="1:10">
      <c r="A50" s="9" t="s">
        <v>18</v>
      </c>
      <c r="B50" s="10">
        <v>46267</v>
      </c>
      <c r="C50" s="3" t="s">
        <v>10</v>
      </c>
      <c r="D50" s="3" t="s">
        <v>33</v>
      </c>
      <c r="E50" s="3" t="s">
        <v>33</v>
      </c>
      <c r="F50" s="3" t="s">
        <v>33</v>
      </c>
      <c r="G50" s="3" t="s">
        <v>34</v>
      </c>
      <c r="H50" s="3" t="s">
        <v>35</v>
      </c>
      <c r="I50" s="3" t="s">
        <v>16</v>
      </c>
      <c r="J50" s="4">
        <v>8</v>
      </c>
    </row>
    <row r="51" spans="1:10">
      <c r="A51" s="9" t="s">
        <v>18</v>
      </c>
      <c r="B51" s="10">
        <v>46268</v>
      </c>
      <c r="C51" s="3" t="s">
        <v>10</v>
      </c>
      <c r="D51" s="3" t="s">
        <v>33</v>
      </c>
      <c r="E51" s="3" t="s">
        <v>33</v>
      </c>
      <c r="F51" s="3" t="s">
        <v>33</v>
      </c>
      <c r="G51" s="3" t="s">
        <v>34</v>
      </c>
      <c r="H51" s="3" t="s">
        <v>35</v>
      </c>
      <c r="I51" s="3" t="s">
        <v>16</v>
      </c>
      <c r="J51" s="4">
        <v>8</v>
      </c>
    </row>
    <row r="52" spans="1:10">
      <c r="A52" s="9" t="s">
        <v>18</v>
      </c>
      <c r="B52" s="10">
        <v>46269</v>
      </c>
      <c r="C52" s="3" t="s">
        <v>10</v>
      </c>
      <c r="D52" s="3" t="s">
        <v>33</v>
      </c>
      <c r="E52" s="3" t="s">
        <v>33</v>
      </c>
      <c r="F52" s="3" t="s">
        <v>33</v>
      </c>
      <c r="G52" s="3" t="s">
        <v>34</v>
      </c>
      <c r="H52" s="3" t="s">
        <v>35</v>
      </c>
      <c r="I52" s="3" t="s">
        <v>16</v>
      </c>
      <c r="J52" s="4">
        <v>8</v>
      </c>
    </row>
    <row r="53" spans="1:10">
      <c r="A53" s="9" t="s">
        <v>18</v>
      </c>
      <c r="B53" s="10">
        <v>46272</v>
      </c>
      <c r="C53" s="3" t="s">
        <v>10</v>
      </c>
      <c r="D53" s="3" t="s">
        <v>33</v>
      </c>
      <c r="E53" s="3" t="s">
        <v>33</v>
      </c>
      <c r="F53" s="3" t="s">
        <v>33</v>
      </c>
      <c r="G53" s="3" t="s">
        <v>34</v>
      </c>
      <c r="H53" s="3" t="s">
        <v>35</v>
      </c>
      <c r="I53" s="3" t="s">
        <v>16</v>
      </c>
      <c r="J53" s="4">
        <v>8</v>
      </c>
    </row>
    <row r="54" spans="1:10">
      <c r="A54" s="9" t="s">
        <v>18</v>
      </c>
      <c r="B54" s="10">
        <v>46273</v>
      </c>
      <c r="C54" s="3" t="s">
        <v>10</v>
      </c>
      <c r="D54" s="3" t="s">
        <v>33</v>
      </c>
      <c r="E54" s="3" t="s">
        <v>33</v>
      </c>
      <c r="F54" s="3" t="s">
        <v>33</v>
      </c>
      <c r="G54" s="3" t="s">
        <v>34</v>
      </c>
      <c r="H54" s="3" t="s">
        <v>35</v>
      </c>
      <c r="I54" s="3" t="s">
        <v>16</v>
      </c>
      <c r="J54" s="4">
        <v>8</v>
      </c>
    </row>
    <row r="55" spans="1:10">
      <c r="A55" s="9" t="s">
        <v>18</v>
      </c>
      <c r="B55" s="10">
        <v>46274</v>
      </c>
      <c r="C55" s="3" t="s">
        <v>10</v>
      </c>
      <c r="D55" s="3" t="s">
        <v>33</v>
      </c>
      <c r="E55" s="3" t="s">
        <v>33</v>
      </c>
      <c r="F55" s="3" t="s">
        <v>33</v>
      </c>
      <c r="G55" s="3" t="s">
        <v>34</v>
      </c>
      <c r="H55" s="3" t="s">
        <v>35</v>
      </c>
      <c r="I55" s="3" t="s">
        <v>16</v>
      </c>
      <c r="J55" s="4">
        <v>8</v>
      </c>
    </row>
    <row r="56" spans="1:10">
      <c r="A56" s="9" t="s">
        <v>18</v>
      </c>
      <c r="B56" s="10">
        <v>46275</v>
      </c>
      <c r="C56" s="3" t="s">
        <v>10</v>
      </c>
      <c r="D56" s="3" t="s">
        <v>33</v>
      </c>
      <c r="E56" s="3" t="s">
        <v>33</v>
      </c>
      <c r="F56" s="3" t="s">
        <v>33</v>
      </c>
      <c r="G56" s="3" t="s">
        <v>34</v>
      </c>
      <c r="H56" s="3" t="s">
        <v>35</v>
      </c>
      <c r="I56" s="3" t="s">
        <v>16</v>
      </c>
      <c r="J56" s="4">
        <v>8</v>
      </c>
    </row>
    <row r="57" spans="1:10">
      <c r="A57" s="9" t="s">
        <v>18</v>
      </c>
      <c r="B57" s="10">
        <v>46276</v>
      </c>
      <c r="C57" s="3" t="s">
        <v>10</v>
      </c>
      <c r="D57" s="3" t="s">
        <v>33</v>
      </c>
      <c r="E57" s="3" t="s">
        <v>33</v>
      </c>
      <c r="F57" s="3" t="s">
        <v>33</v>
      </c>
      <c r="G57" s="3" t="s">
        <v>34</v>
      </c>
      <c r="H57" s="3" t="s">
        <v>35</v>
      </c>
      <c r="I57" s="3" t="s">
        <v>16</v>
      </c>
      <c r="J57" s="4">
        <v>8</v>
      </c>
    </row>
    <row r="58" spans="1:10">
      <c r="A58" s="9" t="s">
        <v>18</v>
      </c>
      <c r="B58" s="10">
        <v>46278</v>
      </c>
      <c r="C58" s="3" t="s">
        <v>36</v>
      </c>
      <c r="D58" s="3" t="s">
        <v>33</v>
      </c>
      <c r="E58" s="3" t="s">
        <v>37</v>
      </c>
      <c r="F58" s="3" t="s">
        <v>33</v>
      </c>
      <c r="G58" s="3" t="s">
        <v>34</v>
      </c>
      <c r="H58" s="3" t="s">
        <v>35</v>
      </c>
      <c r="I58" s="3" t="s">
        <v>16</v>
      </c>
      <c r="J58" s="4">
        <v>8</v>
      </c>
    </row>
    <row r="59" spans="1:10">
      <c r="A59" s="9" t="s">
        <v>18</v>
      </c>
      <c r="B59" s="10">
        <v>46279</v>
      </c>
      <c r="C59" s="3" t="s">
        <v>10</v>
      </c>
      <c r="D59" s="3" t="s">
        <v>33</v>
      </c>
      <c r="E59" s="3" t="s">
        <v>33</v>
      </c>
      <c r="F59" s="3" t="s">
        <v>33</v>
      </c>
      <c r="G59" s="3" t="s">
        <v>34</v>
      </c>
      <c r="H59" s="3" t="s">
        <v>35</v>
      </c>
      <c r="I59" s="3" t="s">
        <v>16</v>
      </c>
      <c r="J59" s="4">
        <v>8</v>
      </c>
    </row>
    <row r="60" spans="1:10">
      <c r="A60" s="9" t="s">
        <v>18</v>
      </c>
      <c r="B60" s="10">
        <v>46280</v>
      </c>
      <c r="C60" s="3" t="s">
        <v>10</v>
      </c>
      <c r="D60" s="3" t="s">
        <v>33</v>
      </c>
      <c r="E60" s="3" t="s">
        <v>33</v>
      </c>
      <c r="F60" s="3" t="s">
        <v>33</v>
      </c>
      <c r="G60" s="3" t="s">
        <v>34</v>
      </c>
      <c r="H60" s="3" t="s">
        <v>35</v>
      </c>
      <c r="I60" s="3" t="s">
        <v>16</v>
      </c>
      <c r="J60" s="4">
        <v>8</v>
      </c>
    </row>
    <row r="61" spans="1:10">
      <c r="A61" s="9" t="s">
        <v>18</v>
      </c>
      <c r="B61" s="10">
        <v>46281</v>
      </c>
      <c r="C61" s="3" t="s">
        <v>10</v>
      </c>
      <c r="D61" s="3" t="s">
        <v>33</v>
      </c>
      <c r="E61" s="3" t="s">
        <v>33</v>
      </c>
      <c r="F61" s="3" t="s">
        <v>33</v>
      </c>
      <c r="G61" s="3" t="s">
        <v>34</v>
      </c>
      <c r="H61" s="3" t="s">
        <v>35</v>
      </c>
      <c r="I61" s="3" t="s">
        <v>16</v>
      </c>
      <c r="J61" s="4">
        <v>8</v>
      </c>
    </row>
    <row r="62" spans="1:10">
      <c r="A62" s="9" t="s">
        <v>18</v>
      </c>
      <c r="B62" s="10">
        <v>46282</v>
      </c>
      <c r="C62" s="3" t="s">
        <v>10</v>
      </c>
      <c r="D62" s="3" t="s">
        <v>33</v>
      </c>
      <c r="E62" s="3" t="s">
        <v>33</v>
      </c>
      <c r="F62" s="3" t="s">
        <v>33</v>
      </c>
      <c r="G62" s="3" t="s">
        <v>34</v>
      </c>
      <c r="H62" s="3" t="s">
        <v>35</v>
      </c>
      <c r="I62" s="3" t="s">
        <v>16</v>
      </c>
      <c r="J62" s="4">
        <v>8</v>
      </c>
    </row>
    <row r="63" spans="1:10">
      <c r="A63" s="9" t="s">
        <v>18</v>
      </c>
      <c r="B63" s="10">
        <v>46283</v>
      </c>
      <c r="C63" s="3" t="s">
        <v>10</v>
      </c>
      <c r="D63" s="3" t="s">
        <v>33</v>
      </c>
      <c r="E63" s="3" t="s">
        <v>33</v>
      </c>
      <c r="F63" s="3" t="s">
        <v>33</v>
      </c>
      <c r="G63" s="3" t="s">
        <v>34</v>
      </c>
      <c r="H63" s="3" t="s">
        <v>35</v>
      </c>
      <c r="I63" s="3" t="s">
        <v>16</v>
      </c>
      <c r="J63" s="4">
        <v>8</v>
      </c>
    </row>
    <row r="64" spans="1:10">
      <c r="A64" s="9" t="s">
        <v>18</v>
      </c>
      <c r="B64" s="10">
        <v>46286</v>
      </c>
      <c r="C64" s="3" t="s">
        <v>10</v>
      </c>
      <c r="D64" s="3" t="s">
        <v>33</v>
      </c>
      <c r="E64" s="3" t="s">
        <v>33</v>
      </c>
      <c r="F64" s="3" t="s">
        <v>33</v>
      </c>
      <c r="G64" s="3" t="s">
        <v>34</v>
      </c>
      <c r="H64" s="3" t="s">
        <v>35</v>
      </c>
      <c r="I64" s="3" t="s">
        <v>16</v>
      </c>
      <c r="J64" s="4">
        <v>8</v>
      </c>
    </row>
    <row r="65" spans="1:10">
      <c r="A65" s="9" t="s">
        <v>18</v>
      </c>
      <c r="B65" s="10">
        <v>46287</v>
      </c>
      <c r="C65" s="3" t="s">
        <v>10</v>
      </c>
      <c r="D65" s="3" t="s">
        <v>33</v>
      </c>
      <c r="E65" s="3" t="s">
        <v>33</v>
      </c>
      <c r="F65" s="3" t="s">
        <v>33</v>
      </c>
      <c r="G65" s="3" t="s">
        <v>34</v>
      </c>
      <c r="H65" s="3" t="s">
        <v>35</v>
      </c>
      <c r="I65" s="3" t="s">
        <v>16</v>
      </c>
      <c r="J65" s="4">
        <v>8</v>
      </c>
    </row>
    <row r="66" spans="1:10">
      <c r="A66" s="9" t="s">
        <v>18</v>
      </c>
      <c r="B66" s="10">
        <v>46288</v>
      </c>
      <c r="C66" s="3" t="s">
        <v>10</v>
      </c>
      <c r="D66" s="3" t="s">
        <v>33</v>
      </c>
      <c r="E66" s="3" t="s">
        <v>33</v>
      </c>
      <c r="F66" s="3" t="s">
        <v>33</v>
      </c>
      <c r="G66" s="3" t="s">
        <v>34</v>
      </c>
      <c r="H66" s="3" t="s">
        <v>35</v>
      </c>
      <c r="I66" s="3" t="s">
        <v>16</v>
      </c>
      <c r="J66" s="4">
        <v>8</v>
      </c>
    </row>
    <row r="67" spans="1:10">
      <c r="A67" s="9" t="s">
        <v>18</v>
      </c>
      <c r="B67" s="10">
        <v>46289</v>
      </c>
      <c r="C67" s="3" t="s">
        <v>10</v>
      </c>
      <c r="D67" s="3" t="s">
        <v>33</v>
      </c>
      <c r="E67" s="3" t="s">
        <v>33</v>
      </c>
      <c r="F67" s="3" t="s">
        <v>33</v>
      </c>
      <c r="G67" s="3" t="s">
        <v>34</v>
      </c>
      <c r="H67" s="3" t="s">
        <v>35</v>
      </c>
      <c r="I67" s="3" t="s">
        <v>16</v>
      </c>
      <c r="J67" s="4">
        <v>8</v>
      </c>
    </row>
    <row r="68" spans="1:10">
      <c r="A68" s="9" t="s">
        <v>18</v>
      </c>
      <c r="B68" s="10">
        <v>46290</v>
      </c>
      <c r="C68" s="3" t="s">
        <v>38</v>
      </c>
      <c r="D68" s="3" t="s">
        <v>39</v>
      </c>
      <c r="E68" s="3" t="s">
        <v>39</v>
      </c>
      <c r="F68" s="3" t="s">
        <v>40</v>
      </c>
      <c r="G68" s="3" t="s">
        <v>34</v>
      </c>
      <c r="H68" s="3" t="s">
        <v>35</v>
      </c>
      <c r="I68" s="3" t="s">
        <v>16</v>
      </c>
      <c r="J68" s="4">
        <v>8</v>
      </c>
    </row>
    <row r="69" spans="1:10">
      <c r="A69" s="9" t="s">
        <v>18</v>
      </c>
      <c r="B69" s="10">
        <v>46293</v>
      </c>
      <c r="C69" s="3" t="s">
        <v>10</v>
      </c>
      <c r="D69" s="3" t="s">
        <v>33</v>
      </c>
      <c r="E69" s="3" t="s">
        <v>33</v>
      </c>
      <c r="F69" s="3" t="s">
        <v>33</v>
      </c>
      <c r="G69" s="3" t="s">
        <v>34</v>
      </c>
      <c r="H69" s="3" t="s">
        <v>35</v>
      </c>
      <c r="I69" s="3" t="s">
        <v>16</v>
      </c>
      <c r="J69" s="4">
        <v>8</v>
      </c>
    </row>
    <row r="70" spans="1:10">
      <c r="A70" s="9" t="s">
        <v>18</v>
      </c>
      <c r="B70" s="10">
        <v>46294</v>
      </c>
      <c r="C70" s="3" t="s">
        <v>10</v>
      </c>
      <c r="D70" s="3" t="s">
        <v>33</v>
      </c>
      <c r="E70" s="3" t="s">
        <v>33</v>
      </c>
      <c r="F70" s="3" t="s">
        <v>33</v>
      </c>
      <c r="G70" s="3" t="s">
        <v>34</v>
      </c>
      <c r="H70" s="3" t="s">
        <v>35</v>
      </c>
      <c r="I70" s="3" t="s">
        <v>16</v>
      </c>
      <c r="J70" s="4">
        <v>8</v>
      </c>
    </row>
    <row r="71" spans="1:10">
      <c r="A71" s="9" t="s">
        <v>18</v>
      </c>
      <c r="B71" s="10">
        <v>46295</v>
      </c>
      <c r="C71" s="3" t="s">
        <v>10</v>
      </c>
      <c r="D71" s="3" t="s">
        <v>33</v>
      </c>
      <c r="E71" s="3" t="s">
        <v>33</v>
      </c>
      <c r="F71" s="3" t="s">
        <v>33</v>
      </c>
      <c r="G71" s="3" t="s">
        <v>34</v>
      </c>
      <c r="H71" s="3" t="s">
        <v>35</v>
      </c>
      <c r="I71" s="3" t="s">
        <v>16</v>
      </c>
      <c r="J71" s="4">
        <v>8</v>
      </c>
    </row>
    <row r="72" spans="1:10">
      <c r="A72" s="9" t="s">
        <v>18</v>
      </c>
      <c r="B72" s="10">
        <v>46266</v>
      </c>
      <c r="C72" s="3" t="s">
        <v>10</v>
      </c>
      <c r="D72" s="3" t="s">
        <v>33</v>
      </c>
      <c r="E72" s="3" t="s">
        <v>33</v>
      </c>
      <c r="F72" s="3" t="s">
        <v>33</v>
      </c>
      <c r="G72" s="3" t="s">
        <v>41</v>
      </c>
      <c r="H72" s="3" t="s">
        <v>35</v>
      </c>
      <c r="I72" s="3" t="s">
        <v>16</v>
      </c>
      <c r="J72" s="4">
        <v>8</v>
      </c>
    </row>
    <row r="73" spans="1:10">
      <c r="A73" s="9" t="s">
        <v>18</v>
      </c>
      <c r="B73" s="10">
        <v>46267</v>
      </c>
      <c r="C73" s="3" t="s">
        <v>10</v>
      </c>
      <c r="D73" s="3" t="s">
        <v>33</v>
      </c>
      <c r="E73" s="3" t="s">
        <v>33</v>
      </c>
      <c r="F73" s="3" t="s">
        <v>33</v>
      </c>
      <c r="G73" s="3" t="s">
        <v>41</v>
      </c>
      <c r="H73" s="3" t="s">
        <v>35</v>
      </c>
      <c r="I73" s="3" t="s">
        <v>16</v>
      </c>
      <c r="J73" s="4">
        <v>8</v>
      </c>
    </row>
    <row r="74" spans="1:10">
      <c r="A74" s="9" t="s">
        <v>18</v>
      </c>
      <c r="B74" s="10">
        <v>46268</v>
      </c>
      <c r="C74" s="3" t="s">
        <v>10</v>
      </c>
      <c r="D74" s="3" t="s">
        <v>33</v>
      </c>
      <c r="E74" s="3" t="s">
        <v>33</v>
      </c>
      <c r="F74" s="3" t="s">
        <v>33</v>
      </c>
      <c r="G74" s="3" t="s">
        <v>41</v>
      </c>
      <c r="H74" s="3" t="s">
        <v>35</v>
      </c>
      <c r="I74" s="3" t="s">
        <v>16</v>
      </c>
      <c r="J74" s="4">
        <v>8</v>
      </c>
    </row>
    <row r="75" spans="1:10">
      <c r="A75" s="9" t="s">
        <v>18</v>
      </c>
      <c r="B75" s="10">
        <v>46269</v>
      </c>
      <c r="C75" s="3" t="s">
        <v>10</v>
      </c>
      <c r="D75" s="3" t="s">
        <v>33</v>
      </c>
      <c r="E75" s="3" t="s">
        <v>33</v>
      </c>
      <c r="F75" s="3" t="s">
        <v>33</v>
      </c>
      <c r="G75" s="3" t="s">
        <v>41</v>
      </c>
      <c r="H75" s="3" t="s">
        <v>35</v>
      </c>
      <c r="I75" s="3" t="s">
        <v>16</v>
      </c>
      <c r="J75" s="4">
        <v>8</v>
      </c>
    </row>
    <row r="76" spans="1:10">
      <c r="A76" s="9" t="s">
        <v>18</v>
      </c>
      <c r="B76" s="10">
        <v>46272</v>
      </c>
      <c r="C76" s="3" t="s">
        <v>10</v>
      </c>
      <c r="D76" s="3" t="s">
        <v>33</v>
      </c>
      <c r="E76" s="3" t="s">
        <v>33</v>
      </c>
      <c r="F76" s="3" t="s">
        <v>33</v>
      </c>
      <c r="G76" s="3" t="s">
        <v>41</v>
      </c>
      <c r="H76" s="3" t="s">
        <v>35</v>
      </c>
      <c r="I76" s="3" t="s">
        <v>16</v>
      </c>
      <c r="J76" s="4">
        <v>8</v>
      </c>
    </row>
    <row r="77" spans="1:10">
      <c r="A77" s="9" t="s">
        <v>18</v>
      </c>
      <c r="B77" s="10">
        <v>46273</v>
      </c>
      <c r="C77" s="3" t="s">
        <v>10</v>
      </c>
      <c r="D77" s="3" t="s">
        <v>33</v>
      </c>
      <c r="E77" s="3" t="s">
        <v>33</v>
      </c>
      <c r="F77" s="3" t="s">
        <v>33</v>
      </c>
      <c r="G77" s="3" t="s">
        <v>41</v>
      </c>
      <c r="H77" s="3" t="s">
        <v>35</v>
      </c>
      <c r="I77" s="3" t="s">
        <v>16</v>
      </c>
      <c r="J77" s="4">
        <v>8</v>
      </c>
    </row>
    <row r="78" spans="1:10">
      <c r="A78" s="9" t="s">
        <v>18</v>
      </c>
      <c r="B78" s="10">
        <v>46274</v>
      </c>
      <c r="C78" s="3" t="s">
        <v>10</v>
      </c>
      <c r="D78" s="3" t="s">
        <v>33</v>
      </c>
      <c r="E78" s="3" t="s">
        <v>33</v>
      </c>
      <c r="F78" s="3" t="s">
        <v>33</v>
      </c>
      <c r="G78" s="3" t="s">
        <v>41</v>
      </c>
      <c r="H78" s="3" t="s">
        <v>35</v>
      </c>
      <c r="I78" s="3" t="s">
        <v>16</v>
      </c>
      <c r="J78" s="4">
        <v>8</v>
      </c>
    </row>
    <row r="79" spans="1:10">
      <c r="A79" s="9" t="s">
        <v>18</v>
      </c>
      <c r="B79" s="10">
        <v>46275</v>
      </c>
      <c r="C79" s="3" t="s">
        <v>10</v>
      </c>
      <c r="D79" s="3" t="s">
        <v>33</v>
      </c>
      <c r="E79" s="3" t="s">
        <v>33</v>
      </c>
      <c r="F79" s="3" t="s">
        <v>33</v>
      </c>
      <c r="G79" s="3" t="s">
        <v>41</v>
      </c>
      <c r="H79" s="3" t="s">
        <v>35</v>
      </c>
      <c r="I79" s="3" t="s">
        <v>16</v>
      </c>
      <c r="J79" s="4">
        <v>8</v>
      </c>
    </row>
    <row r="80" spans="1:10">
      <c r="A80" s="9" t="s">
        <v>18</v>
      </c>
      <c r="B80" s="10">
        <v>46276</v>
      </c>
      <c r="C80" s="3" t="s">
        <v>19</v>
      </c>
      <c r="D80" s="3" t="s">
        <v>19</v>
      </c>
      <c r="E80" s="3" t="s">
        <v>19</v>
      </c>
      <c r="F80" s="3" t="s">
        <v>20</v>
      </c>
      <c r="G80" s="3" t="s">
        <v>41</v>
      </c>
      <c r="H80" s="3" t="s">
        <v>35</v>
      </c>
      <c r="I80" s="3" t="s">
        <v>16</v>
      </c>
      <c r="J80" s="4">
        <v>8</v>
      </c>
    </row>
    <row r="81" spans="1:10">
      <c r="A81" s="9" t="s">
        <v>18</v>
      </c>
      <c r="B81" s="10">
        <v>46279</v>
      </c>
      <c r="C81" s="3" t="s">
        <v>10</v>
      </c>
      <c r="D81" s="3" t="s">
        <v>33</v>
      </c>
      <c r="E81" s="3" t="s">
        <v>33</v>
      </c>
      <c r="F81" s="3" t="s">
        <v>33</v>
      </c>
      <c r="G81" s="3" t="s">
        <v>41</v>
      </c>
      <c r="H81" s="3" t="s">
        <v>35</v>
      </c>
      <c r="I81" s="3" t="s">
        <v>16</v>
      </c>
      <c r="J81" s="4">
        <v>8</v>
      </c>
    </row>
    <row r="82" spans="1:10">
      <c r="A82" s="9" t="s">
        <v>18</v>
      </c>
      <c r="B82" s="10">
        <v>46280</v>
      </c>
      <c r="C82" s="3" t="s">
        <v>10</v>
      </c>
      <c r="D82" s="3" t="s">
        <v>33</v>
      </c>
      <c r="E82" s="3" t="s">
        <v>33</v>
      </c>
      <c r="F82" s="3" t="s">
        <v>33</v>
      </c>
      <c r="G82" s="3" t="s">
        <v>41</v>
      </c>
      <c r="H82" s="3" t="s">
        <v>35</v>
      </c>
      <c r="I82" s="3" t="s">
        <v>16</v>
      </c>
      <c r="J82" s="4">
        <v>8</v>
      </c>
    </row>
    <row r="83" spans="1:10">
      <c r="A83" s="9" t="s">
        <v>18</v>
      </c>
      <c r="B83" s="10">
        <v>46281</v>
      </c>
      <c r="C83" s="3" t="s">
        <v>10</v>
      </c>
      <c r="D83" s="3" t="s">
        <v>33</v>
      </c>
      <c r="E83" s="3" t="s">
        <v>33</v>
      </c>
      <c r="F83" s="3" t="s">
        <v>33</v>
      </c>
      <c r="G83" s="3" t="s">
        <v>41</v>
      </c>
      <c r="H83" s="3" t="s">
        <v>35</v>
      </c>
      <c r="I83" s="3" t="s">
        <v>16</v>
      </c>
      <c r="J83" s="4">
        <v>8</v>
      </c>
    </row>
    <row r="84" spans="1:10">
      <c r="A84" s="9" t="s">
        <v>18</v>
      </c>
      <c r="B84" s="10">
        <v>46282</v>
      </c>
      <c r="C84" s="3" t="s">
        <v>10</v>
      </c>
      <c r="D84" s="3" t="s">
        <v>33</v>
      </c>
      <c r="E84" s="3" t="s">
        <v>33</v>
      </c>
      <c r="F84" s="3" t="s">
        <v>33</v>
      </c>
      <c r="G84" s="3" t="s">
        <v>41</v>
      </c>
      <c r="H84" s="3" t="s">
        <v>35</v>
      </c>
      <c r="I84" s="3" t="s">
        <v>16</v>
      </c>
      <c r="J84" s="4">
        <v>8</v>
      </c>
    </row>
    <row r="85" spans="1:10">
      <c r="A85" s="9" t="s">
        <v>18</v>
      </c>
      <c r="B85" s="10">
        <v>46283</v>
      </c>
      <c r="C85" s="3" t="s">
        <v>10</v>
      </c>
      <c r="D85" s="3" t="s">
        <v>33</v>
      </c>
      <c r="E85" s="3" t="s">
        <v>33</v>
      </c>
      <c r="F85" s="3" t="s">
        <v>33</v>
      </c>
      <c r="G85" s="3" t="s">
        <v>41</v>
      </c>
      <c r="H85" s="3" t="s">
        <v>35</v>
      </c>
      <c r="I85" s="3" t="s">
        <v>16</v>
      </c>
      <c r="J85" s="4">
        <v>8</v>
      </c>
    </row>
    <row r="86" spans="1:10">
      <c r="A86" s="9" t="s">
        <v>18</v>
      </c>
      <c r="B86" s="10">
        <v>46285</v>
      </c>
      <c r="C86" s="3" t="s">
        <v>36</v>
      </c>
      <c r="D86" s="3" t="s">
        <v>33</v>
      </c>
      <c r="E86" s="3" t="s">
        <v>33</v>
      </c>
      <c r="F86" s="3" t="s">
        <v>33</v>
      </c>
      <c r="G86" s="3" t="s">
        <v>41</v>
      </c>
      <c r="H86" s="3" t="s">
        <v>35</v>
      </c>
      <c r="I86" s="3" t="s">
        <v>16</v>
      </c>
      <c r="J86" s="4">
        <v>8</v>
      </c>
    </row>
    <row r="87" spans="1:10">
      <c r="A87" s="9" t="s">
        <v>18</v>
      </c>
      <c r="B87" s="10">
        <v>46286</v>
      </c>
      <c r="C87" s="3" t="s">
        <v>10</v>
      </c>
      <c r="D87" s="3" t="s">
        <v>33</v>
      </c>
      <c r="E87" s="3" t="s">
        <v>33</v>
      </c>
      <c r="F87" s="3" t="s">
        <v>33</v>
      </c>
      <c r="G87" s="3" t="s">
        <v>41</v>
      </c>
      <c r="H87" s="3" t="s">
        <v>35</v>
      </c>
      <c r="I87" s="3" t="s">
        <v>16</v>
      </c>
      <c r="J87" s="4">
        <v>8</v>
      </c>
    </row>
    <row r="88" spans="1:10">
      <c r="A88" s="9" t="s">
        <v>18</v>
      </c>
      <c r="B88" s="10">
        <v>46287</v>
      </c>
      <c r="C88" s="3" t="s">
        <v>10</v>
      </c>
      <c r="D88" s="3" t="s">
        <v>33</v>
      </c>
      <c r="E88" s="3" t="s">
        <v>33</v>
      </c>
      <c r="F88" s="3" t="s">
        <v>33</v>
      </c>
      <c r="G88" s="3" t="s">
        <v>41</v>
      </c>
      <c r="H88" s="3" t="s">
        <v>35</v>
      </c>
      <c r="I88" s="3" t="s">
        <v>16</v>
      </c>
      <c r="J88" s="4">
        <v>8</v>
      </c>
    </row>
    <row r="89" spans="1:10">
      <c r="A89" s="9" t="s">
        <v>18</v>
      </c>
      <c r="B89" s="10">
        <v>46288</v>
      </c>
      <c r="C89" s="3" t="s">
        <v>10</v>
      </c>
      <c r="D89" s="3" t="s">
        <v>33</v>
      </c>
      <c r="E89" s="3" t="s">
        <v>33</v>
      </c>
      <c r="F89" s="3" t="s">
        <v>33</v>
      </c>
      <c r="G89" s="3" t="s">
        <v>41</v>
      </c>
      <c r="H89" s="3" t="s">
        <v>35</v>
      </c>
      <c r="I89" s="3" t="s">
        <v>16</v>
      </c>
      <c r="J89" s="4">
        <v>8</v>
      </c>
    </row>
    <row r="90" spans="1:10">
      <c r="A90" s="9" t="s">
        <v>18</v>
      </c>
      <c r="B90" s="10">
        <v>46289</v>
      </c>
      <c r="C90" s="3" t="s">
        <v>10</v>
      </c>
      <c r="D90" s="3" t="s">
        <v>33</v>
      </c>
      <c r="E90" s="3" t="s">
        <v>33</v>
      </c>
      <c r="F90" s="3" t="s">
        <v>33</v>
      </c>
      <c r="G90" s="3" t="s">
        <v>41</v>
      </c>
      <c r="H90" s="3" t="s">
        <v>35</v>
      </c>
      <c r="I90" s="3" t="s">
        <v>16</v>
      </c>
      <c r="J90" s="4">
        <v>8</v>
      </c>
    </row>
    <row r="91" spans="1:10">
      <c r="A91" s="9" t="s">
        <v>18</v>
      </c>
      <c r="B91" s="10">
        <v>46290</v>
      </c>
      <c r="C91" s="3" t="s">
        <v>19</v>
      </c>
      <c r="D91" s="3" t="s">
        <v>19</v>
      </c>
      <c r="E91" s="3" t="s">
        <v>19</v>
      </c>
      <c r="F91" s="3" t="s">
        <v>42</v>
      </c>
      <c r="G91" s="3" t="s">
        <v>41</v>
      </c>
      <c r="H91" s="3" t="s">
        <v>35</v>
      </c>
      <c r="I91" s="3" t="s">
        <v>16</v>
      </c>
      <c r="J91" s="4">
        <v>8</v>
      </c>
    </row>
    <row r="92" spans="1:10">
      <c r="A92" s="9" t="s">
        <v>18</v>
      </c>
      <c r="B92" s="10">
        <v>46293</v>
      </c>
      <c r="C92" s="3" t="s">
        <v>10</v>
      </c>
      <c r="D92" s="3" t="s">
        <v>33</v>
      </c>
      <c r="E92" s="3" t="s">
        <v>33</v>
      </c>
      <c r="F92" s="3" t="s">
        <v>33</v>
      </c>
      <c r="G92" s="3" t="s">
        <v>41</v>
      </c>
      <c r="H92" s="3" t="s">
        <v>35</v>
      </c>
      <c r="I92" s="3" t="s">
        <v>16</v>
      </c>
      <c r="J92" s="4">
        <v>8</v>
      </c>
    </row>
    <row r="93" spans="1:10">
      <c r="A93" s="9" t="s">
        <v>18</v>
      </c>
      <c r="B93" s="10">
        <v>46294</v>
      </c>
      <c r="C93" s="3" t="s">
        <v>19</v>
      </c>
      <c r="D93" s="3" t="s">
        <v>19</v>
      </c>
      <c r="E93" s="3" t="s">
        <v>19</v>
      </c>
      <c r="F93" s="3" t="s">
        <v>20</v>
      </c>
      <c r="G93" s="3" t="s">
        <v>41</v>
      </c>
      <c r="H93" s="3" t="s">
        <v>35</v>
      </c>
      <c r="I93" s="3" t="s">
        <v>16</v>
      </c>
      <c r="J93" s="4">
        <v>8</v>
      </c>
    </row>
    <row r="94" spans="1:10">
      <c r="A94" s="9" t="s">
        <v>18</v>
      </c>
      <c r="B94" s="10">
        <v>46295</v>
      </c>
      <c r="C94" s="3" t="s">
        <v>19</v>
      </c>
      <c r="D94" s="3" t="s">
        <v>19</v>
      </c>
      <c r="E94" s="3" t="s">
        <v>19</v>
      </c>
      <c r="F94" s="3" t="s">
        <v>20</v>
      </c>
      <c r="G94" s="3" t="s">
        <v>41</v>
      </c>
      <c r="H94" s="3" t="s">
        <v>35</v>
      </c>
      <c r="I94" s="3" t="s">
        <v>16</v>
      </c>
      <c r="J94" s="4">
        <v>8</v>
      </c>
    </row>
    <row r="95" spans="1:10">
      <c r="A95" s="9" t="s">
        <v>18</v>
      </c>
      <c r="B95" s="10">
        <v>46266</v>
      </c>
      <c r="C95" s="3" t="s">
        <v>19</v>
      </c>
      <c r="D95" s="3" t="s">
        <v>19</v>
      </c>
      <c r="E95" s="3" t="s">
        <v>19</v>
      </c>
      <c r="F95" s="3" t="s">
        <v>20</v>
      </c>
      <c r="G95" s="3" t="s">
        <v>43</v>
      </c>
      <c r="H95" s="3" t="s">
        <v>44</v>
      </c>
      <c r="I95" s="3" t="s">
        <v>16</v>
      </c>
      <c r="J95" s="4">
        <v>8</v>
      </c>
    </row>
    <row r="96" spans="1:10">
      <c r="A96" s="9" t="s">
        <v>18</v>
      </c>
      <c r="B96" s="10">
        <v>46267</v>
      </c>
      <c r="C96" s="3" t="s">
        <v>19</v>
      </c>
      <c r="D96" s="3" t="s">
        <v>19</v>
      </c>
      <c r="E96" s="3" t="s">
        <v>19</v>
      </c>
      <c r="F96" s="3" t="s">
        <v>20</v>
      </c>
      <c r="G96" s="3" t="s">
        <v>43</v>
      </c>
      <c r="H96" s="3" t="s">
        <v>44</v>
      </c>
      <c r="I96" s="3" t="s">
        <v>16</v>
      </c>
      <c r="J96" s="4">
        <v>8</v>
      </c>
    </row>
    <row r="97" spans="1:10">
      <c r="A97" s="9" t="s">
        <v>18</v>
      </c>
      <c r="B97" s="10">
        <v>46268</v>
      </c>
      <c r="C97" s="3" t="s">
        <v>10</v>
      </c>
      <c r="D97" s="3" t="s">
        <v>45</v>
      </c>
      <c r="E97" s="13" t="s">
        <v>46</v>
      </c>
      <c r="G97" s="3" t="s">
        <v>43</v>
      </c>
      <c r="H97" s="3" t="s">
        <v>44</v>
      </c>
      <c r="I97" s="3" t="s">
        <v>16</v>
      </c>
      <c r="J97" s="4">
        <v>8</v>
      </c>
    </row>
    <row r="98" spans="1:10">
      <c r="A98" s="9" t="s">
        <v>18</v>
      </c>
      <c r="B98" s="10">
        <v>46269</v>
      </c>
      <c r="C98" s="3" t="s">
        <v>10</v>
      </c>
      <c r="D98" s="3" t="s">
        <v>45</v>
      </c>
      <c r="E98" s="13" t="s">
        <v>47</v>
      </c>
      <c r="G98" s="3" t="s">
        <v>43</v>
      </c>
      <c r="H98" s="3" t="s">
        <v>44</v>
      </c>
      <c r="I98" s="3" t="s">
        <v>16</v>
      </c>
      <c r="J98" s="4">
        <v>8</v>
      </c>
    </row>
    <row r="99" spans="1:10">
      <c r="A99" s="9" t="s">
        <v>18</v>
      </c>
      <c r="B99" s="10">
        <v>46272</v>
      </c>
      <c r="C99" s="3" t="s">
        <v>10</v>
      </c>
      <c r="D99" s="3" t="s">
        <v>45</v>
      </c>
      <c r="E99" s="13" t="s">
        <v>48</v>
      </c>
      <c r="G99" s="3" t="s">
        <v>43</v>
      </c>
      <c r="H99" s="3" t="s">
        <v>44</v>
      </c>
      <c r="I99" s="3" t="s">
        <v>16</v>
      </c>
      <c r="J99" s="4">
        <v>8</v>
      </c>
    </row>
    <row r="100" spans="1:10">
      <c r="A100" s="9" t="s">
        <v>18</v>
      </c>
      <c r="B100" s="10">
        <v>46273</v>
      </c>
      <c r="C100" s="3" t="s">
        <v>10</v>
      </c>
      <c r="D100" s="3" t="s">
        <v>45</v>
      </c>
      <c r="E100" s="13" t="s">
        <v>48</v>
      </c>
      <c r="G100" s="3" t="s">
        <v>43</v>
      </c>
      <c r="H100" s="3" t="s">
        <v>44</v>
      </c>
      <c r="I100" s="3" t="s">
        <v>16</v>
      </c>
      <c r="J100" s="4">
        <v>8</v>
      </c>
    </row>
    <row r="101" spans="1:10">
      <c r="A101" s="9" t="s">
        <v>18</v>
      </c>
      <c r="B101" s="10">
        <v>46274</v>
      </c>
      <c r="C101" s="3" t="s">
        <v>10</v>
      </c>
      <c r="D101" s="3" t="s">
        <v>45</v>
      </c>
      <c r="E101" s="13" t="s">
        <v>48</v>
      </c>
      <c r="G101" s="3" t="s">
        <v>43</v>
      </c>
      <c r="H101" s="3" t="s">
        <v>44</v>
      </c>
      <c r="I101" s="3" t="s">
        <v>16</v>
      </c>
      <c r="J101" s="4">
        <v>8</v>
      </c>
    </row>
    <row r="102" spans="1:10">
      <c r="A102" s="9" t="s">
        <v>18</v>
      </c>
      <c r="B102" s="10">
        <v>46275</v>
      </c>
      <c r="C102" s="3" t="s">
        <v>10</v>
      </c>
      <c r="D102" s="3" t="s">
        <v>45</v>
      </c>
      <c r="E102" s="13" t="s">
        <v>48</v>
      </c>
      <c r="G102" s="3" t="s">
        <v>43</v>
      </c>
      <c r="H102" s="3" t="s">
        <v>44</v>
      </c>
      <c r="I102" s="3" t="s">
        <v>16</v>
      </c>
      <c r="J102" s="4">
        <v>8</v>
      </c>
    </row>
    <row r="103" spans="1:10">
      <c r="A103" s="9" t="s">
        <v>18</v>
      </c>
      <c r="B103" s="10">
        <v>46276</v>
      </c>
      <c r="C103" s="3" t="s">
        <v>10</v>
      </c>
      <c r="D103" s="3" t="s">
        <v>45</v>
      </c>
      <c r="E103" s="3" t="s">
        <v>49</v>
      </c>
      <c r="G103" s="3" t="s">
        <v>43</v>
      </c>
      <c r="H103" s="3" t="s">
        <v>44</v>
      </c>
      <c r="I103" s="3" t="s">
        <v>16</v>
      </c>
      <c r="J103" s="4">
        <v>8</v>
      </c>
    </row>
    <row r="104" spans="1:10">
      <c r="A104" s="9" t="s">
        <v>18</v>
      </c>
      <c r="B104" s="10">
        <v>46278</v>
      </c>
      <c r="C104" s="3" t="s">
        <v>36</v>
      </c>
      <c r="D104" s="3" t="s">
        <v>45</v>
      </c>
      <c r="E104" s="3" t="s">
        <v>50</v>
      </c>
      <c r="G104" s="3" t="s">
        <v>43</v>
      </c>
      <c r="H104" s="3" t="s">
        <v>44</v>
      </c>
      <c r="I104" s="3" t="s">
        <v>16</v>
      </c>
      <c r="J104" s="4">
        <v>8</v>
      </c>
    </row>
    <row r="105" spans="1:10">
      <c r="A105" s="9" t="s">
        <v>18</v>
      </c>
      <c r="B105" s="10">
        <v>46279</v>
      </c>
      <c r="C105" s="3" t="s">
        <v>10</v>
      </c>
      <c r="D105" s="3" t="s">
        <v>45</v>
      </c>
      <c r="E105" s="13" t="s">
        <v>51</v>
      </c>
      <c r="G105" s="3" t="s">
        <v>43</v>
      </c>
      <c r="H105" s="3" t="s">
        <v>44</v>
      </c>
      <c r="I105" s="3" t="s">
        <v>16</v>
      </c>
      <c r="J105" s="4">
        <v>8</v>
      </c>
    </row>
    <row r="106" spans="1:10">
      <c r="A106" s="9" t="s">
        <v>18</v>
      </c>
      <c r="B106" s="10">
        <v>46280</v>
      </c>
      <c r="C106" s="3" t="s">
        <v>10</v>
      </c>
      <c r="D106" s="3" t="s">
        <v>45</v>
      </c>
      <c r="E106" s="13" t="s">
        <v>51</v>
      </c>
      <c r="G106" s="3" t="s">
        <v>43</v>
      </c>
      <c r="H106" s="3" t="s">
        <v>44</v>
      </c>
      <c r="I106" s="3" t="s">
        <v>16</v>
      </c>
      <c r="J106" s="4">
        <v>8</v>
      </c>
    </row>
    <row r="107" spans="1:10">
      <c r="A107" s="9" t="s">
        <v>18</v>
      </c>
      <c r="B107" s="10">
        <v>46281</v>
      </c>
      <c r="C107" s="3" t="s">
        <v>10</v>
      </c>
      <c r="D107" s="3" t="s">
        <v>45</v>
      </c>
      <c r="E107" s="13" t="s">
        <v>51</v>
      </c>
      <c r="G107" s="3" t="s">
        <v>43</v>
      </c>
      <c r="H107" s="3" t="s">
        <v>44</v>
      </c>
      <c r="I107" s="3" t="s">
        <v>16</v>
      </c>
      <c r="J107" s="4">
        <v>8</v>
      </c>
    </row>
    <row r="108" spans="1:10">
      <c r="A108" s="9" t="s">
        <v>18</v>
      </c>
      <c r="B108" s="10">
        <v>46282</v>
      </c>
      <c r="C108" s="3" t="s">
        <v>10</v>
      </c>
      <c r="D108" s="3" t="s">
        <v>45</v>
      </c>
      <c r="E108" s="13" t="s">
        <v>52</v>
      </c>
      <c r="G108" s="3" t="s">
        <v>43</v>
      </c>
      <c r="H108" s="3" t="s">
        <v>44</v>
      </c>
      <c r="I108" s="3" t="s">
        <v>16</v>
      </c>
      <c r="J108" s="4">
        <v>8</v>
      </c>
    </row>
    <row r="109" spans="1:10">
      <c r="A109" s="9" t="s">
        <v>18</v>
      </c>
      <c r="B109" s="10">
        <v>46283</v>
      </c>
      <c r="C109" s="3" t="s">
        <v>10</v>
      </c>
      <c r="D109" s="3" t="s">
        <v>45</v>
      </c>
      <c r="E109" s="13" t="s">
        <v>53</v>
      </c>
      <c r="G109" s="3" t="s">
        <v>43</v>
      </c>
      <c r="H109" s="3" t="s">
        <v>44</v>
      </c>
      <c r="I109" s="3" t="s">
        <v>16</v>
      </c>
      <c r="J109" s="4">
        <v>8</v>
      </c>
    </row>
    <row r="110" spans="1:10">
      <c r="A110" s="9" t="s">
        <v>18</v>
      </c>
      <c r="B110" s="10">
        <v>46286</v>
      </c>
      <c r="C110" s="3" t="s">
        <v>38</v>
      </c>
      <c r="D110" s="3" t="s">
        <v>39</v>
      </c>
      <c r="E110" s="3" t="s">
        <v>39</v>
      </c>
      <c r="F110" s="3" t="s">
        <v>40</v>
      </c>
      <c r="G110" s="3" t="s">
        <v>43</v>
      </c>
      <c r="H110" s="3" t="s">
        <v>44</v>
      </c>
      <c r="I110" s="3" t="s">
        <v>16</v>
      </c>
      <c r="J110" s="4">
        <v>8</v>
      </c>
    </row>
    <row r="111" spans="1:10">
      <c r="A111" s="9" t="s">
        <v>18</v>
      </c>
      <c r="B111" s="10">
        <v>46287</v>
      </c>
      <c r="C111" s="3" t="s">
        <v>10</v>
      </c>
      <c r="D111" s="3" t="s">
        <v>45</v>
      </c>
      <c r="E111" s="13" t="s">
        <v>48</v>
      </c>
      <c r="G111" s="3" t="s">
        <v>43</v>
      </c>
      <c r="H111" s="3" t="s">
        <v>44</v>
      </c>
      <c r="I111" s="3" t="s">
        <v>16</v>
      </c>
      <c r="J111" s="4">
        <v>8</v>
      </c>
    </row>
    <row r="112" spans="1:10">
      <c r="A112" s="9" t="s">
        <v>18</v>
      </c>
      <c r="B112" s="10">
        <v>46288</v>
      </c>
      <c r="C112" s="3" t="s">
        <v>10</v>
      </c>
      <c r="D112" s="3" t="s">
        <v>45</v>
      </c>
      <c r="E112" s="13" t="s">
        <v>48</v>
      </c>
      <c r="G112" s="3" t="s">
        <v>43</v>
      </c>
      <c r="H112" s="3" t="s">
        <v>44</v>
      </c>
      <c r="I112" s="3" t="s">
        <v>16</v>
      </c>
      <c r="J112" s="4">
        <v>8</v>
      </c>
    </row>
    <row r="113" spans="1:10">
      <c r="A113" s="9" t="s">
        <v>18</v>
      </c>
      <c r="B113" s="10">
        <v>46289</v>
      </c>
      <c r="C113" s="3" t="s">
        <v>10</v>
      </c>
      <c r="D113" s="3" t="s">
        <v>45</v>
      </c>
      <c r="E113" s="13" t="s">
        <v>48</v>
      </c>
      <c r="G113" s="3" t="s">
        <v>43</v>
      </c>
      <c r="H113" s="3" t="s">
        <v>44</v>
      </c>
      <c r="I113" s="3" t="s">
        <v>16</v>
      </c>
      <c r="J113" s="4">
        <v>8</v>
      </c>
    </row>
    <row r="114" spans="1:10">
      <c r="A114" s="9" t="s">
        <v>18</v>
      </c>
      <c r="B114" s="10">
        <v>46290</v>
      </c>
      <c r="C114" s="3" t="s">
        <v>10</v>
      </c>
      <c r="D114" s="3" t="s">
        <v>45</v>
      </c>
      <c r="E114" s="13" t="s">
        <v>48</v>
      </c>
      <c r="G114" s="3" t="s">
        <v>43</v>
      </c>
      <c r="H114" s="3" t="s">
        <v>44</v>
      </c>
      <c r="I114" s="3" t="s">
        <v>16</v>
      </c>
      <c r="J114" s="4">
        <v>8</v>
      </c>
    </row>
    <row r="115" spans="1:10">
      <c r="A115" s="9" t="s">
        <v>18</v>
      </c>
      <c r="B115" s="10">
        <v>46293</v>
      </c>
      <c r="C115" s="3" t="s">
        <v>10</v>
      </c>
      <c r="D115" s="3" t="s">
        <v>45</v>
      </c>
      <c r="E115" s="3" t="s">
        <v>54</v>
      </c>
      <c r="G115" s="3" t="s">
        <v>43</v>
      </c>
      <c r="H115" s="3" t="s">
        <v>44</v>
      </c>
      <c r="I115" s="3" t="s">
        <v>16</v>
      </c>
      <c r="J115" s="4">
        <v>8</v>
      </c>
    </row>
    <row r="116" spans="1:10">
      <c r="A116" s="9" t="s">
        <v>18</v>
      </c>
      <c r="B116" s="10">
        <v>46294</v>
      </c>
      <c r="C116" s="3" t="s">
        <v>10</v>
      </c>
      <c r="D116" s="3" t="s">
        <v>45</v>
      </c>
      <c r="E116" s="3" t="s">
        <v>54</v>
      </c>
      <c r="G116" s="3" t="s">
        <v>43</v>
      </c>
      <c r="H116" s="3" t="s">
        <v>44</v>
      </c>
      <c r="I116" s="3" t="s">
        <v>16</v>
      </c>
      <c r="J116" s="4">
        <v>8</v>
      </c>
    </row>
    <row r="117" spans="1:10">
      <c r="A117" s="9" t="s">
        <v>18</v>
      </c>
      <c r="B117" s="10">
        <v>46295</v>
      </c>
      <c r="C117" s="3" t="s">
        <v>10</v>
      </c>
      <c r="D117" s="3" t="s">
        <v>45</v>
      </c>
      <c r="E117" s="13" t="s">
        <v>55</v>
      </c>
      <c r="G117" s="3" t="s">
        <v>43</v>
      </c>
      <c r="H117" s="3" t="s">
        <v>44</v>
      </c>
      <c r="I117" s="3" t="s">
        <v>16</v>
      </c>
      <c r="J117" s="4">
        <v>8</v>
      </c>
    </row>
    <row r="118" spans="1:10">
      <c r="A118" s="9" t="s">
        <v>18</v>
      </c>
      <c r="B118" s="10">
        <v>46266</v>
      </c>
      <c r="C118" s="3" t="s">
        <v>19</v>
      </c>
      <c r="D118" s="3" t="s">
        <v>19</v>
      </c>
      <c r="E118" s="3" t="s">
        <v>19</v>
      </c>
      <c r="F118" s="3" t="s">
        <v>20</v>
      </c>
      <c r="G118" s="3" t="s">
        <v>56</v>
      </c>
      <c r="H118" s="3" t="s">
        <v>44</v>
      </c>
      <c r="I118" s="3" t="s">
        <v>16</v>
      </c>
      <c r="J118" s="4">
        <v>8</v>
      </c>
    </row>
    <row r="119" spans="1:10">
      <c r="A119" s="9" t="s">
        <v>18</v>
      </c>
      <c r="B119" s="10">
        <v>46267</v>
      </c>
      <c r="C119" s="3" t="s">
        <v>19</v>
      </c>
      <c r="D119" s="3" t="s">
        <v>19</v>
      </c>
      <c r="E119" s="3" t="s">
        <v>19</v>
      </c>
      <c r="F119" s="3" t="s">
        <v>20</v>
      </c>
      <c r="G119" s="3" t="s">
        <v>56</v>
      </c>
      <c r="H119" s="3" t="s">
        <v>44</v>
      </c>
      <c r="I119" s="3" t="s">
        <v>16</v>
      </c>
      <c r="J119" s="4">
        <v>8</v>
      </c>
    </row>
    <row r="120" spans="1:10">
      <c r="A120" s="9" t="s">
        <v>18</v>
      </c>
      <c r="B120" s="10">
        <v>46268</v>
      </c>
      <c r="C120" s="3" t="s">
        <v>10</v>
      </c>
      <c r="D120" s="3" t="s">
        <v>45</v>
      </c>
      <c r="E120" s="3" t="s">
        <v>57</v>
      </c>
      <c r="G120" s="3" t="s">
        <v>56</v>
      </c>
      <c r="H120" s="3" t="s">
        <v>44</v>
      </c>
      <c r="I120" s="3" t="s">
        <v>16</v>
      </c>
      <c r="J120" s="4">
        <v>8</v>
      </c>
    </row>
    <row r="121" spans="1:10">
      <c r="A121" s="9" t="s">
        <v>18</v>
      </c>
      <c r="B121" s="10">
        <v>46269</v>
      </c>
      <c r="C121" s="3" t="s">
        <v>10</v>
      </c>
      <c r="D121" s="3" t="s">
        <v>45</v>
      </c>
      <c r="E121" s="3" t="s">
        <v>58</v>
      </c>
      <c r="G121" s="3" t="s">
        <v>56</v>
      </c>
      <c r="H121" s="3" t="s">
        <v>44</v>
      </c>
      <c r="I121" s="3" t="s">
        <v>16</v>
      </c>
      <c r="J121" s="4">
        <v>8</v>
      </c>
    </row>
    <row r="122" spans="1:10">
      <c r="A122" s="9" t="s">
        <v>18</v>
      </c>
      <c r="B122" s="10">
        <v>46272</v>
      </c>
      <c r="C122" s="3" t="s">
        <v>10</v>
      </c>
      <c r="D122" s="3" t="s">
        <v>45</v>
      </c>
      <c r="E122" s="3" t="s">
        <v>58</v>
      </c>
      <c r="G122" s="3" t="s">
        <v>56</v>
      </c>
      <c r="H122" s="3" t="s">
        <v>44</v>
      </c>
      <c r="I122" s="3" t="s">
        <v>16</v>
      </c>
      <c r="J122" s="4">
        <v>8</v>
      </c>
    </row>
    <row r="123" spans="1:10">
      <c r="A123" s="9" t="s">
        <v>18</v>
      </c>
      <c r="B123" s="10">
        <v>46273</v>
      </c>
      <c r="C123" s="3" t="s">
        <v>10</v>
      </c>
      <c r="D123" s="3" t="s">
        <v>45</v>
      </c>
      <c r="E123" s="13" t="s">
        <v>59</v>
      </c>
      <c r="G123" s="3" t="s">
        <v>56</v>
      </c>
      <c r="H123" s="3" t="s">
        <v>44</v>
      </c>
      <c r="I123" s="3" t="s">
        <v>16</v>
      </c>
      <c r="J123" s="4">
        <v>8</v>
      </c>
    </row>
    <row r="124" spans="1:10">
      <c r="A124" s="9" t="s">
        <v>18</v>
      </c>
      <c r="B124" s="10">
        <v>46274</v>
      </c>
      <c r="C124" s="3" t="s">
        <v>10</v>
      </c>
      <c r="D124" s="3" t="s">
        <v>45</v>
      </c>
      <c r="E124" s="13" t="s">
        <v>59</v>
      </c>
      <c r="G124" s="3" t="s">
        <v>56</v>
      </c>
      <c r="H124" s="3" t="s">
        <v>44</v>
      </c>
      <c r="I124" s="3" t="s">
        <v>16</v>
      </c>
      <c r="J124" s="4">
        <v>8</v>
      </c>
    </row>
    <row r="125" spans="1:10">
      <c r="A125" s="9" t="s">
        <v>18</v>
      </c>
      <c r="B125" s="10">
        <v>46275</v>
      </c>
      <c r="C125" s="3" t="s">
        <v>10</v>
      </c>
      <c r="D125" s="3" t="s">
        <v>45</v>
      </c>
      <c r="E125" s="13" t="s">
        <v>59</v>
      </c>
      <c r="G125" s="3" t="s">
        <v>56</v>
      </c>
      <c r="H125" s="3" t="s">
        <v>44</v>
      </c>
      <c r="I125" s="3" t="s">
        <v>16</v>
      </c>
      <c r="J125" s="4">
        <v>8</v>
      </c>
    </row>
    <row r="126" spans="1:10">
      <c r="A126" s="9" t="s">
        <v>18</v>
      </c>
      <c r="B126" s="10">
        <v>46276</v>
      </c>
      <c r="C126" s="3" t="s">
        <v>10</v>
      </c>
      <c r="D126" s="3" t="s">
        <v>45</v>
      </c>
      <c r="E126" s="13" t="s">
        <v>59</v>
      </c>
      <c r="G126" s="3" t="s">
        <v>56</v>
      </c>
      <c r="H126" s="3" t="s">
        <v>44</v>
      </c>
      <c r="I126" s="3" t="s">
        <v>16</v>
      </c>
      <c r="J126" s="4">
        <v>8</v>
      </c>
    </row>
    <row r="127" spans="1:10">
      <c r="A127" s="9" t="s">
        <v>18</v>
      </c>
      <c r="B127" s="10">
        <v>46279</v>
      </c>
      <c r="C127" s="3" t="s">
        <v>10</v>
      </c>
      <c r="D127" s="3" t="s">
        <v>45</v>
      </c>
      <c r="E127" s="13" t="s">
        <v>59</v>
      </c>
      <c r="G127" s="3" t="s">
        <v>56</v>
      </c>
      <c r="H127" s="3" t="s">
        <v>44</v>
      </c>
      <c r="I127" s="3" t="s">
        <v>16</v>
      </c>
      <c r="J127" s="4">
        <v>8</v>
      </c>
    </row>
    <row r="128" spans="1:10">
      <c r="A128" s="9" t="s">
        <v>18</v>
      </c>
      <c r="B128" s="10">
        <v>46280</v>
      </c>
      <c r="C128" s="3" t="s">
        <v>10</v>
      </c>
      <c r="D128" s="3" t="s">
        <v>45</v>
      </c>
      <c r="E128" s="13" t="s">
        <v>59</v>
      </c>
      <c r="G128" s="3" t="s">
        <v>56</v>
      </c>
      <c r="H128" s="3" t="s">
        <v>44</v>
      </c>
      <c r="I128" s="3" t="s">
        <v>16</v>
      </c>
      <c r="J128" s="4">
        <v>8</v>
      </c>
    </row>
    <row r="129" spans="1:10">
      <c r="A129" s="9" t="s">
        <v>18</v>
      </c>
      <c r="B129" s="10">
        <v>46281</v>
      </c>
      <c r="C129" s="3" t="s">
        <v>10</v>
      </c>
      <c r="D129" s="3" t="s">
        <v>45</v>
      </c>
      <c r="E129" s="13" t="s">
        <v>59</v>
      </c>
      <c r="G129" s="3" t="s">
        <v>56</v>
      </c>
      <c r="H129" s="3" t="s">
        <v>44</v>
      </c>
      <c r="I129" s="3" t="s">
        <v>16</v>
      </c>
      <c r="J129" s="4">
        <v>8</v>
      </c>
    </row>
    <row r="130" spans="1:10">
      <c r="A130" s="9" t="s">
        <v>18</v>
      </c>
      <c r="B130" s="10">
        <v>46282</v>
      </c>
      <c r="C130" s="3" t="s">
        <v>10</v>
      </c>
      <c r="D130" s="3" t="s">
        <v>45</v>
      </c>
      <c r="E130" s="13" t="s">
        <v>59</v>
      </c>
      <c r="G130" s="3" t="s">
        <v>56</v>
      </c>
      <c r="H130" s="3" t="s">
        <v>44</v>
      </c>
      <c r="I130" s="3" t="s">
        <v>16</v>
      </c>
      <c r="J130" s="4">
        <v>8</v>
      </c>
    </row>
    <row r="131" spans="1:10">
      <c r="A131" s="9" t="s">
        <v>18</v>
      </c>
      <c r="B131" s="10">
        <v>46283</v>
      </c>
      <c r="C131" s="3" t="s">
        <v>10</v>
      </c>
      <c r="D131" s="3" t="s">
        <v>45</v>
      </c>
      <c r="E131" s="13" t="s">
        <v>59</v>
      </c>
      <c r="G131" s="3" t="s">
        <v>56</v>
      </c>
      <c r="H131" s="3" t="s">
        <v>44</v>
      </c>
      <c r="I131" s="3" t="s">
        <v>16</v>
      </c>
      <c r="J131" s="4">
        <v>8</v>
      </c>
    </row>
    <row r="132" spans="1:10">
      <c r="A132" s="9" t="s">
        <v>18</v>
      </c>
      <c r="B132" s="10">
        <v>46286</v>
      </c>
      <c r="C132" s="3" t="s">
        <v>10</v>
      </c>
      <c r="D132" s="3" t="s">
        <v>45</v>
      </c>
      <c r="E132" s="13" t="s">
        <v>60</v>
      </c>
      <c r="G132" s="3" t="s">
        <v>56</v>
      </c>
      <c r="H132" s="3" t="s">
        <v>44</v>
      </c>
      <c r="I132" s="3" t="s">
        <v>16</v>
      </c>
      <c r="J132" s="4">
        <v>8</v>
      </c>
    </row>
    <row r="133" spans="1:10">
      <c r="A133" s="9" t="s">
        <v>18</v>
      </c>
      <c r="B133" s="10">
        <v>46287</v>
      </c>
      <c r="C133" s="3" t="s">
        <v>10</v>
      </c>
      <c r="D133" s="3" t="s">
        <v>45</v>
      </c>
      <c r="E133" s="13" t="s">
        <v>61</v>
      </c>
      <c r="G133" s="3" t="s">
        <v>56</v>
      </c>
      <c r="H133" s="3" t="s">
        <v>44</v>
      </c>
      <c r="I133" s="3" t="s">
        <v>16</v>
      </c>
      <c r="J133" s="4">
        <v>8</v>
      </c>
    </row>
    <row r="134" spans="1:10">
      <c r="A134" s="9" t="s">
        <v>18</v>
      </c>
      <c r="B134" s="10">
        <v>46288</v>
      </c>
      <c r="C134" s="3" t="s">
        <v>10</v>
      </c>
      <c r="D134" s="3" t="s">
        <v>45</v>
      </c>
      <c r="E134" s="13" t="s">
        <v>62</v>
      </c>
      <c r="G134" s="3" t="s">
        <v>56</v>
      </c>
      <c r="H134" s="3" t="s">
        <v>44</v>
      </c>
      <c r="I134" s="3" t="s">
        <v>16</v>
      </c>
      <c r="J134" s="4">
        <v>8</v>
      </c>
    </row>
    <row r="135" spans="1:10">
      <c r="A135" s="9" t="s">
        <v>18</v>
      </c>
      <c r="B135" s="10">
        <v>46289</v>
      </c>
      <c r="C135" s="3" t="s">
        <v>10</v>
      </c>
      <c r="D135" s="3" t="s">
        <v>45</v>
      </c>
      <c r="E135" s="13" t="s">
        <v>62</v>
      </c>
      <c r="G135" s="3" t="s">
        <v>56</v>
      </c>
      <c r="H135" s="3" t="s">
        <v>44</v>
      </c>
      <c r="I135" s="3" t="s">
        <v>16</v>
      </c>
      <c r="J135" s="4">
        <v>8</v>
      </c>
    </row>
    <row r="136" spans="1:10">
      <c r="A136" s="9" t="s">
        <v>18</v>
      </c>
      <c r="B136" s="10">
        <v>46290</v>
      </c>
      <c r="C136" s="3" t="s">
        <v>10</v>
      </c>
      <c r="D136" s="3" t="s">
        <v>45</v>
      </c>
      <c r="E136" s="13" t="s">
        <v>62</v>
      </c>
      <c r="G136" s="3" t="s">
        <v>56</v>
      </c>
      <c r="H136" s="3" t="s">
        <v>44</v>
      </c>
      <c r="I136" s="3" t="s">
        <v>16</v>
      </c>
      <c r="J136" s="4">
        <v>8</v>
      </c>
    </row>
    <row r="137" spans="1:10">
      <c r="A137" s="9" t="s">
        <v>18</v>
      </c>
      <c r="B137" s="10">
        <v>46293</v>
      </c>
      <c r="C137" s="3" t="s">
        <v>10</v>
      </c>
      <c r="D137" s="3" t="s">
        <v>45</v>
      </c>
      <c r="E137" s="13" t="s">
        <v>63</v>
      </c>
      <c r="G137" s="3" t="s">
        <v>56</v>
      </c>
      <c r="H137" s="3" t="s">
        <v>44</v>
      </c>
      <c r="I137" s="3" t="s">
        <v>16</v>
      </c>
      <c r="J137" s="4">
        <v>8</v>
      </c>
    </row>
    <row r="138" spans="1:10">
      <c r="A138" s="9" t="s">
        <v>18</v>
      </c>
      <c r="B138" s="10">
        <v>46294</v>
      </c>
      <c r="C138" s="3" t="s">
        <v>10</v>
      </c>
      <c r="D138" s="3" t="s">
        <v>45</v>
      </c>
      <c r="E138" s="13" t="s">
        <v>63</v>
      </c>
      <c r="G138" s="3" t="s">
        <v>56</v>
      </c>
      <c r="H138" s="3" t="s">
        <v>44</v>
      </c>
      <c r="I138" s="3" t="s">
        <v>16</v>
      </c>
      <c r="J138" s="4">
        <v>8</v>
      </c>
    </row>
    <row r="139" spans="1:10">
      <c r="A139" s="9" t="s">
        <v>18</v>
      </c>
      <c r="B139" s="10">
        <v>46295</v>
      </c>
      <c r="C139" s="3" t="s">
        <v>10</v>
      </c>
      <c r="D139" s="3" t="s">
        <v>45</v>
      </c>
      <c r="E139" s="13" t="s">
        <v>63</v>
      </c>
      <c r="G139" s="3" t="s">
        <v>56</v>
      </c>
      <c r="H139" s="3" t="s">
        <v>44</v>
      </c>
      <c r="I139" s="3" t="s">
        <v>16</v>
      </c>
      <c r="J139" s="4">
        <v>8</v>
      </c>
    </row>
    <row r="140" spans="1:10">
      <c r="A140" s="9" t="s">
        <v>18</v>
      </c>
      <c r="B140" s="10">
        <v>46266</v>
      </c>
      <c r="C140" s="3" t="s">
        <v>19</v>
      </c>
      <c r="D140" s="3" t="s">
        <v>19</v>
      </c>
      <c r="E140" s="3" t="s">
        <v>19</v>
      </c>
      <c r="F140" s="3" t="s">
        <v>20</v>
      </c>
      <c r="G140" s="3" t="s">
        <v>64</v>
      </c>
      <c r="H140" s="3" t="s">
        <v>15</v>
      </c>
      <c r="I140" s="3" t="s">
        <v>16</v>
      </c>
      <c r="J140" s="4">
        <v>8</v>
      </c>
    </row>
    <row r="141" spans="1:10">
      <c r="A141" s="9" t="s">
        <v>18</v>
      </c>
      <c r="B141" s="10">
        <v>46267</v>
      </c>
      <c r="C141" s="3" t="s">
        <v>19</v>
      </c>
      <c r="D141" s="3" t="s">
        <v>19</v>
      </c>
      <c r="E141" s="3" t="s">
        <v>19</v>
      </c>
      <c r="F141" s="3" t="s">
        <v>20</v>
      </c>
      <c r="G141" s="3" t="s">
        <v>64</v>
      </c>
      <c r="H141" s="3" t="s">
        <v>15</v>
      </c>
      <c r="I141" s="3" t="s">
        <v>16</v>
      </c>
      <c r="J141" s="4">
        <v>8</v>
      </c>
    </row>
    <row r="142" spans="1:10">
      <c r="A142" s="9" t="s">
        <v>18</v>
      </c>
      <c r="B142" s="10">
        <v>46268</v>
      </c>
      <c r="C142" s="3" t="s">
        <v>10</v>
      </c>
      <c r="D142" s="3" t="s">
        <v>15</v>
      </c>
      <c r="E142" s="3" t="s">
        <v>65</v>
      </c>
      <c r="F142" s="3" t="s">
        <v>66</v>
      </c>
      <c r="G142" s="3" t="s">
        <v>64</v>
      </c>
      <c r="H142" s="3" t="s">
        <v>15</v>
      </c>
      <c r="I142" s="3" t="s">
        <v>16</v>
      </c>
      <c r="J142" s="4">
        <v>8</v>
      </c>
    </row>
    <row r="143" spans="1:10">
      <c r="A143" s="9" t="s">
        <v>18</v>
      </c>
      <c r="B143" s="10">
        <v>46269</v>
      </c>
      <c r="C143" s="3" t="s">
        <v>10</v>
      </c>
      <c r="D143" s="3" t="s">
        <v>15</v>
      </c>
      <c r="E143" s="3" t="s">
        <v>65</v>
      </c>
      <c r="F143" s="3" t="s">
        <v>66</v>
      </c>
      <c r="G143" s="3" t="s">
        <v>64</v>
      </c>
      <c r="H143" s="3" t="s">
        <v>15</v>
      </c>
      <c r="I143" s="3" t="s">
        <v>16</v>
      </c>
      <c r="J143" s="4">
        <v>8</v>
      </c>
    </row>
    <row r="144" spans="1:10">
      <c r="A144" s="9" t="s">
        <v>18</v>
      </c>
      <c r="B144" s="10">
        <v>46272</v>
      </c>
      <c r="C144" s="3" t="s">
        <v>10</v>
      </c>
      <c r="D144" s="3" t="s">
        <v>67</v>
      </c>
      <c r="E144" s="3" t="s">
        <v>68</v>
      </c>
      <c r="G144" s="3" t="s">
        <v>64</v>
      </c>
      <c r="H144" s="3" t="s">
        <v>15</v>
      </c>
      <c r="I144" s="3" t="s">
        <v>16</v>
      </c>
      <c r="J144" s="4">
        <v>8</v>
      </c>
    </row>
    <row r="145" spans="1:10">
      <c r="A145" s="9" t="s">
        <v>18</v>
      </c>
      <c r="B145" s="10">
        <v>46273</v>
      </c>
      <c r="C145" s="3" t="s">
        <v>10</v>
      </c>
      <c r="D145" s="3" t="s">
        <v>15</v>
      </c>
      <c r="E145" s="3" t="s">
        <v>68</v>
      </c>
      <c r="G145" s="3" t="s">
        <v>64</v>
      </c>
      <c r="H145" s="3" t="s">
        <v>15</v>
      </c>
      <c r="I145" s="3" t="s">
        <v>16</v>
      </c>
      <c r="J145" s="4">
        <v>8</v>
      </c>
    </row>
    <row r="146" spans="1:10">
      <c r="A146" s="9" t="s">
        <v>18</v>
      </c>
      <c r="B146" s="10">
        <v>46274</v>
      </c>
      <c r="C146" s="3" t="s">
        <v>10</v>
      </c>
      <c r="D146" s="3" t="s">
        <v>15</v>
      </c>
      <c r="E146" s="3" t="s">
        <v>68</v>
      </c>
      <c r="G146" s="3" t="s">
        <v>64</v>
      </c>
      <c r="H146" s="3" t="s">
        <v>15</v>
      </c>
      <c r="I146" s="3" t="s">
        <v>16</v>
      </c>
      <c r="J146" s="4">
        <v>8</v>
      </c>
    </row>
    <row r="147" spans="1:10">
      <c r="A147" s="9" t="s">
        <v>18</v>
      </c>
      <c r="B147" s="10">
        <v>46275</v>
      </c>
      <c r="C147" s="3" t="s">
        <v>10</v>
      </c>
      <c r="D147" s="3" t="s">
        <v>15</v>
      </c>
      <c r="E147" s="3" t="s">
        <v>26</v>
      </c>
      <c r="G147" s="3" t="s">
        <v>64</v>
      </c>
      <c r="H147" s="3" t="s">
        <v>15</v>
      </c>
      <c r="I147" s="3" t="s">
        <v>16</v>
      </c>
      <c r="J147" s="4">
        <v>8</v>
      </c>
    </row>
    <row r="148" spans="1:10">
      <c r="A148" s="9" t="s">
        <v>18</v>
      </c>
      <c r="B148" s="10">
        <v>46276</v>
      </c>
      <c r="C148" s="3" t="s">
        <v>10</v>
      </c>
      <c r="D148" s="3" t="s">
        <v>15</v>
      </c>
      <c r="E148" s="3" t="s">
        <v>26</v>
      </c>
      <c r="G148" s="3" t="s">
        <v>64</v>
      </c>
      <c r="H148" s="3" t="s">
        <v>15</v>
      </c>
      <c r="I148" s="3" t="s">
        <v>16</v>
      </c>
      <c r="J148" s="4">
        <v>8</v>
      </c>
    </row>
    <row r="149" spans="1:10">
      <c r="A149" s="9" t="s">
        <v>18</v>
      </c>
      <c r="B149" s="10">
        <v>46279</v>
      </c>
      <c r="C149" s="3" t="s">
        <v>10</v>
      </c>
      <c r="D149" s="3" t="s">
        <v>15</v>
      </c>
      <c r="E149" s="3" t="s">
        <v>69</v>
      </c>
      <c r="G149" s="3" t="s">
        <v>64</v>
      </c>
      <c r="H149" s="3" t="s">
        <v>15</v>
      </c>
      <c r="I149" s="3" t="s">
        <v>16</v>
      </c>
      <c r="J149" s="4">
        <v>8</v>
      </c>
    </row>
    <row r="150" spans="1:10">
      <c r="A150" s="9" t="s">
        <v>18</v>
      </c>
      <c r="B150" s="10">
        <v>46280</v>
      </c>
      <c r="C150" s="3" t="s">
        <v>10</v>
      </c>
      <c r="D150" s="3" t="s">
        <v>15</v>
      </c>
      <c r="E150" s="3" t="s">
        <v>69</v>
      </c>
      <c r="G150" s="3" t="s">
        <v>64</v>
      </c>
      <c r="H150" s="3" t="s">
        <v>15</v>
      </c>
      <c r="I150" s="3" t="s">
        <v>16</v>
      </c>
      <c r="J150" s="4">
        <v>8</v>
      </c>
    </row>
    <row r="151" spans="1:10">
      <c r="A151" s="9" t="s">
        <v>18</v>
      </c>
      <c r="B151" s="10">
        <v>46281</v>
      </c>
      <c r="C151" s="3" t="s">
        <v>10</v>
      </c>
      <c r="D151" s="3" t="s">
        <v>15</v>
      </c>
      <c r="E151" s="3" t="s">
        <v>69</v>
      </c>
      <c r="G151" s="3" t="s">
        <v>64</v>
      </c>
      <c r="H151" s="3" t="s">
        <v>15</v>
      </c>
      <c r="I151" s="3" t="s">
        <v>16</v>
      </c>
      <c r="J151" s="4">
        <v>8</v>
      </c>
    </row>
    <row r="152" spans="1:10">
      <c r="A152" s="9" t="s">
        <v>18</v>
      </c>
      <c r="B152" s="10">
        <v>46282</v>
      </c>
      <c r="C152" s="3" t="s">
        <v>10</v>
      </c>
      <c r="D152" s="3" t="s">
        <v>15</v>
      </c>
      <c r="E152" s="3" t="s">
        <v>69</v>
      </c>
      <c r="G152" s="3" t="s">
        <v>64</v>
      </c>
      <c r="H152" s="3" t="s">
        <v>15</v>
      </c>
      <c r="I152" s="3" t="s">
        <v>16</v>
      </c>
      <c r="J152" s="4">
        <v>8</v>
      </c>
    </row>
    <row r="153" spans="1:10">
      <c r="A153" s="9" t="s">
        <v>18</v>
      </c>
      <c r="B153" s="10">
        <v>46283</v>
      </c>
      <c r="C153" s="3" t="s">
        <v>10</v>
      </c>
      <c r="D153" s="3" t="s">
        <v>15</v>
      </c>
      <c r="E153" s="3" t="s">
        <v>69</v>
      </c>
      <c r="G153" s="3" t="s">
        <v>64</v>
      </c>
      <c r="H153" s="3" t="s">
        <v>15</v>
      </c>
      <c r="I153" s="3" t="s">
        <v>16</v>
      </c>
      <c r="J153" s="4">
        <v>8</v>
      </c>
    </row>
    <row r="154" spans="1:10">
      <c r="A154" s="9" t="s">
        <v>18</v>
      </c>
      <c r="B154" s="10">
        <v>46286</v>
      </c>
      <c r="C154" s="3" t="s">
        <v>10</v>
      </c>
      <c r="D154" s="3" t="s">
        <v>15</v>
      </c>
      <c r="E154" s="3" t="s">
        <v>70</v>
      </c>
      <c r="G154" s="3" t="s">
        <v>64</v>
      </c>
      <c r="H154" s="3" t="s">
        <v>15</v>
      </c>
      <c r="I154" s="3" t="s">
        <v>16</v>
      </c>
      <c r="J154" s="4">
        <v>8</v>
      </c>
    </row>
    <row r="155" spans="1:10">
      <c r="A155" s="9" t="s">
        <v>18</v>
      </c>
      <c r="B155" s="10">
        <v>46287</v>
      </c>
      <c r="C155" s="3" t="s">
        <v>10</v>
      </c>
      <c r="D155" s="3" t="s">
        <v>15</v>
      </c>
      <c r="E155" s="3" t="s">
        <v>70</v>
      </c>
      <c r="G155" s="3" t="s">
        <v>64</v>
      </c>
      <c r="H155" s="3" t="s">
        <v>15</v>
      </c>
      <c r="I155" s="3" t="s">
        <v>16</v>
      </c>
      <c r="J155" s="4">
        <v>8</v>
      </c>
    </row>
    <row r="156" spans="1:10">
      <c r="A156" s="9" t="s">
        <v>18</v>
      </c>
      <c r="B156" s="10">
        <v>46288</v>
      </c>
      <c r="C156" s="3" t="s">
        <v>10</v>
      </c>
      <c r="D156" s="3" t="s">
        <v>15</v>
      </c>
      <c r="E156" s="3" t="s">
        <v>31</v>
      </c>
      <c r="G156" s="3" t="s">
        <v>64</v>
      </c>
      <c r="H156" s="3" t="s">
        <v>15</v>
      </c>
      <c r="I156" s="3" t="s">
        <v>16</v>
      </c>
      <c r="J156" s="4">
        <v>8</v>
      </c>
    </row>
    <row r="157" spans="1:10">
      <c r="A157" s="9" t="s">
        <v>18</v>
      </c>
      <c r="B157" s="10">
        <v>46289</v>
      </c>
      <c r="C157" s="3" t="s">
        <v>10</v>
      </c>
      <c r="D157" s="3" t="s">
        <v>15</v>
      </c>
      <c r="E157" s="3" t="s">
        <v>71</v>
      </c>
      <c r="G157" s="3" t="s">
        <v>64</v>
      </c>
      <c r="H157" s="3" t="s">
        <v>15</v>
      </c>
      <c r="I157" s="3" t="s">
        <v>16</v>
      </c>
      <c r="J157" s="4">
        <v>8</v>
      </c>
    </row>
    <row r="158" spans="1:10">
      <c r="A158" s="9" t="s">
        <v>18</v>
      </c>
      <c r="B158" s="10">
        <v>46290</v>
      </c>
      <c r="C158" s="3" t="s">
        <v>10</v>
      </c>
      <c r="D158" s="3" t="s">
        <v>15</v>
      </c>
      <c r="E158" s="3" t="s">
        <v>72</v>
      </c>
      <c r="G158" s="3" t="s">
        <v>64</v>
      </c>
      <c r="H158" s="3" t="s">
        <v>15</v>
      </c>
      <c r="I158" s="3" t="s">
        <v>16</v>
      </c>
      <c r="J158" s="4">
        <v>8</v>
      </c>
    </row>
    <row r="159" spans="1:10">
      <c r="A159" s="9" t="s">
        <v>18</v>
      </c>
      <c r="B159" s="10">
        <v>46293</v>
      </c>
      <c r="C159" s="3" t="s">
        <v>10</v>
      </c>
      <c r="D159" s="3" t="s">
        <v>15</v>
      </c>
      <c r="E159" s="3" t="s">
        <v>73</v>
      </c>
      <c r="G159" s="3" t="s">
        <v>64</v>
      </c>
      <c r="H159" s="3" t="s">
        <v>15</v>
      </c>
      <c r="I159" s="3" t="s">
        <v>16</v>
      </c>
      <c r="J159" s="4">
        <v>8</v>
      </c>
    </row>
    <row r="160" spans="1:10">
      <c r="A160" s="9" t="s">
        <v>18</v>
      </c>
      <c r="B160" s="10">
        <v>46294</v>
      </c>
      <c r="C160" s="3" t="s">
        <v>10</v>
      </c>
      <c r="D160" s="3" t="s">
        <v>15</v>
      </c>
      <c r="E160" s="3" t="s">
        <v>74</v>
      </c>
      <c r="G160" s="3" t="s">
        <v>64</v>
      </c>
      <c r="H160" s="3" t="s">
        <v>15</v>
      </c>
      <c r="I160" s="3" t="s">
        <v>16</v>
      </c>
      <c r="J160" s="4">
        <v>8</v>
      </c>
    </row>
    <row r="161" spans="1:10">
      <c r="A161" s="9" t="s">
        <v>18</v>
      </c>
      <c r="B161" s="10">
        <v>46295</v>
      </c>
      <c r="C161" s="3" t="s">
        <v>10</v>
      </c>
      <c r="D161" s="3" t="s">
        <v>15</v>
      </c>
      <c r="E161" s="3" t="s">
        <v>75</v>
      </c>
      <c r="G161" s="3" t="s">
        <v>64</v>
      </c>
      <c r="H161" s="3" t="s">
        <v>15</v>
      </c>
      <c r="I161" s="3" t="s">
        <v>16</v>
      </c>
      <c r="J161" s="4">
        <v>8</v>
      </c>
    </row>
    <row r="162" spans="1:10">
      <c r="A162" s="9" t="s">
        <v>18</v>
      </c>
      <c r="B162" s="10">
        <v>46266</v>
      </c>
      <c r="C162" s="3" t="s">
        <v>19</v>
      </c>
      <c r="D162" s="3" t="s">
        <v>19</v>
      </c>
      <c r="E162" s="3" t="s">
        <v>19</v>
      </c>
      <c r="F162" s="3" t="s">
        <v>20</v>
      </c>
      <c r="G162" s="3" t="s">
        <v>76</v>
      </c>
      <c r="H162" s="3" t="s">
        <v>15</v>
      </c>
      <c r="I162" s="3" t="s">
        <v>16</v>
      </c>
      <c r="J162" s="4">
        <v>8</v>
      </c>
    </row>
    <row r="163" spans="1:10">
      <c r="A163" s="9" t="s">
        <v>18</v>
      </c>
      <c r="B163" s="10">
        <v>46267</v>
      </c>
      <c r="C163" s="3" t="s">
        <v>19</v>
      </c>
      <c r="D163" s="3" t="s">
        <v>19</v>
      </c>
      <c r="E163" s="3" t="s">
        <v>19</v>
      </c>
      <c r="F163" s="3" t="s">
        <v>20</v>
      </c>
      <c r="G163" s="3" t="s">
        <v>76</v>
      </c>
      <c r="H163" s="3" t="s">
        <v>15</v>
      </c>
      <c r="I163" s="3" t="s">
        <v>16</v>
      </c>
      <c r="J163" s="4">
        <v>8</v>
      </c>
    </row>
    <row r="164" spans="1:10">
      <c r="A164" s="9" t="s">
        <v>18</v>
      </c>
      <c r="B164" s="10">
        <v>46268</v>
      </c>
      <c r="C164" s="3" t="s">
        <v>10</v>
      </c>
      <c r="D164" s="3" t="s">
        <v>15</v>
      </c>
      <c r="E164" s="3" t="s">
        <v>22</v>
      </c>
      <c r="G164" s="3" t="s">
        <v>76</v>
      </c>
      <c r="H164" s="3" t="s">
        <v>15</v>
      </c>
      <c r="I164" s="3" t="s">
        <v>16</v>
      </c>
      <c r="J164" s="4">
        <v>8</v>
      </c>
    </row>
    <row r="165" spans="1:10">
      <c r="A165" s="9" t="s">
        <v>18</v>
      </c>
      <c r="B165" s="10">
        <v>46269</v>
      </c>
      <c r="C165" s="3" t="s">
        <v>10</v>
      </c>
      <c r="D165" s="3" t="s">
        <v>67</v>
      </c>
      <c r="E165" s="3" t="s">
        <v>22</v>
      </c>
      <c r="G165" s="3" t="s">
        <v>76</v>
      </c>
      <c r="H165" s="3" t="s">
        <v>15</v>
      </c>
      <c r="I165" s="3" t="s">
        <v>16</v>
      </c>
      <c r="J165" s="4">
        <v>8</v>
      </c>
    </row>
    <row r="166" spans="1:10">
      <c r="A166" s="9" t="s">
        <v>18</v>
      </c>
      <c r="B166" s="10">
        <v>46272</v>
      </c>
      <c r="C166" s="3" t="s">
        <v>10</v>
      </c>
      <c r="D166" s="3" t="s">
        <v>15</v>
      </c>
      <c r="E166" s="3" t="s">
        <v>68</v>
      </c>
      <c r="G166" s="3" t="s">
        <v>76</v>
      </c>
      <c r="H166" s="3" t="s">
        <v>15</v>
      </c>
      <c r="I166" s="3" t="s">
        <v>16</v>
      </c>
      <c r="J166" s="4">
        <v>8</v>
      </c>
    </row>
    <row r="167" spans="1:10">
      <c r="A167" s="9" t="s">
        <v>18</v>
      </c>
      <c r="B167" s="10">
        <v>46273</v>
      </c>
      <c r="C167" s="3" t="s">
        <v>10</v>
      </c>
      <c r="D167" s="3" t="s">
        <v>15</v>
      </c>
      <c r="E167" s="3" t="s">
        <v>68</v>
      </c>
      <c r="G167" s="3" t="s">
        <v>76</v>
      </c>
      <c r="H167" s="3" t="s">
        <v>15</v>
      </c>
      <c r="I167" s="3" t="s">
        <v>16</v>
      </c>
      <c r="J167" s="4">
        <v>8</v>
      </c>
    </row>
    <row r="168" spans="1:10">
      <c r="A168" s="9" t="s">
        <v>18</v>
      </c>
      <c r="B168" s="10">
        <v>46274</v>
      </c>
      <c r="C168" s="3" t="s">
        <v>10</v>
      </c>
      <c r="D168" s="3" t="s">
        <v>15</v>
      </c>
      <c r="E168" s="3" t="s">
        <v>68</v>
      </c>
      <c r="G168" s="3" t="s">
        <v>76</v>
      </c>
      <c r="H168" s="3" t="s">
        <v>15</v>
      </c>
      <c r="I168" s="3" t="s">
        <v>16</v>
      </c>
      <c r="J168" s="4">
        <v>8</v>
      </c>
    </row>
    <row r="169" spans="1:10">
      <c r="A169" s="9" t="s">
        <v>18</v>
      </c>
      <c r="B169" s="10">
        <v>46275</v>
      </c>
      <c r="C169" s="3" t="s">
        <v>10</v>
      </c>
      <c r="D169" s="3" t="s">
        <v>15</v>
      </c>
      <c r="E169" s="3" t="s">
        <v>26</v>
      </c>
      <c r="G169" s="3" t="s">
        <v>76</v>
      </c>
      <c r="H169" s="3" t="s">
        <v>15</v>
      </c>
      <c r="I169" s="3" t="s">
        <v>16</v>
      </c>
      <c r="J169" s="4">
        <v>8</v>
      </c>
    </row>
    <row r="170" spans="1:10">
      <c r="A170" s="9" t="s">
        <v>18</v>
      </c>
      <c r="B170" s="10">
        <v>46276</v>
      </c>
      <c r="C170" s="3" t="s">
        <v>10</v>
      </c>
      <c r="D170" s="3" t="s">
        <v>15</v>
      </c>
      <c r="E170" s="3" t="s">
        <v>26</v>
      </c>
      <c r="G170" s="3" t="s">
        <v>76</v>
      </c>
      <c r="H170" s="3" t="s">
        <v>15</v>
      </c>
      <c r="I170" s="3" t="s">
        <v>16</v>
      </c>
      <c r="J170" s="4">
        <v>8</v>
      </c>
    </row>
    <row r="171" spans="1:10">
      <c r="A171" s="9" t="s">
        <v>18</v>
      </c>
      <c r="B171" s="10">
        <v>46279</v>
      </c>
      <c r="C171" s="3" t="s">
        <v>10</v>
      </c>
      <c r="D171" s="3" t="s">
        <v>15</v>
      </c>
      <c r="E171" s="3" t="s">
        <v>68</v>
      </c>
      <c r="G171" s="3" t="s">
        <v>76</v>
      </c>
      <c r="H171" s="3" t="s">
        <v>15</v>
      </c>
      <c r="I171" s="3" t="s">
        <v>16</v>
      </c>
      <c r="J171" s="4">
        <v>8</v>
      </c>
    </row>
    <row r="172" spans="1:10">
      <c r="A172" s="9" t="s">
        <v>18</v>
      </c>
      <c r="B172" s="10">
        <v>46280</v>
      </c>
      <c r="C172" s="3" t="s">
        <v>10</v>
      </c>
      <c r="D172" s="3" t="s">
        <v>15</v>
      </c>
      <c r="E172" s="3" t="s">
        <v>68</v>
      </c>
      <c r="G172" s="3" t="s">
        <v>76</v>
      </c>
      <c r="H172" s="3" t="s">
        <v>15</v>
      </c>
      <c r="I172" s="3" t="s">
        <v>16</v>
      </c>
      <c r="J172" s="4">
        <v>8</v>
      </c>
    </row>
    <row r="173" spans="1:10">
      <c r="A173" s="9" t="s">
        <v>18</v>
      </c>
      <c r="B173" s="10">
        <v>46281</v>
      </c>
      <c r="C173" s="3" t="s">
        <v>10</v>
      </c>
      <c r="D173" s="3" t="s">
        <v>15</v>
      </c>
      <c r="E173" s="3" t="s">
        <v>68</v>
      </c>
      <c r="G173" s="3" t="s">
        <v>76</v>
      </c>
      <c r="H173" s="3" t="s">
        <v>15</v>
      </c>
      <c r="I173" s="3" t="s">
        <v>16</v>
      </c>
      <c r="J173" s="4">
        <v>8</v>
      </c>
    </row>
    <row r="174" spans="1:10">
      <c r="A174" s="9" t="s">
        <v>18</v>
      </c>
      <c r="B174" s="10">
        <v>46282</v>
      </c>
      <c r="C174" s="3" t="s">
        <v>19</v>
      </c>
      <c r="D174" s="3" t="s">
        <v>19</v>
      </c>
      <c r="E174" s="3" t="s">
        <v>19</v>
      </c>
      <c r="F174" s="3" t="s">
        <v>20</v>
      </c>
      <c r="G174" s="3" t="s">
        <v>76</v>
      </c>
      <c r="H174" s="3" t="s">
        <v>15</v>
      </c>
      <c r="I174" s="3" t="s">
        <v>16</v>
      </c>
      <c r="J174" s="4">
        <v>8</v>
      </c>
    </row>
    <row r="175" spans="1:10">
      <c r="A175" s="1" t="s">
        <v>18</v>
      </c>
      <c r="B175" s="2">
        <v>46283</v>
      </c>
      <c r="C175" s="3" t="s">
        <v>10</v>
      </c>
      <c r="D175" s="3" t="s">
        <v>15</v>
      </c>
      <c r="E175" s="3" t="s">
        <v>26</v>
      </c>
      <c r="G175" s="3" t="s">
        <v>76</v>
      </c>
      <c r="H175" s="3" t="s">
        <v>15</v>
      </c>
      <c r="I175" s="3" t="s">
        <v>16</v>
      </c>
      <c r="J175" s="4">
        <v>8</v>
      </c>
    </row>
    <row r="176" spans="1:10">
      <c r="A176" s="1" t="s">
        <v>18</v>
      </c>
      <c r="B176" s="2">
        <v>46286</v>
      </c>
      <c r="C176" s="3" t="s">
        <v>10</v>
      </c>
      <c r="D176" s="3" t="s">
        <v>15</v>
      </c>
      <c r="E176" s="3" t="s">
        <v>70</v>
      </c>
      <c r="G176" s="3" t="s">
        <v>76</v>
      </c>
      <c r="H176" s="3" t="s">
        <v>15</v>
      </c>
      <c r="I176" s="3" t="s">
        <v>16</v>
      </c>
      <c r="J176" s="4">
        <v>8</v>
      </c>
    </row>
    <row r="177" spans="1:10">
      <c r="A177" s="1" t="s">
        <v>18</v>
      </c>
      <c r="B177" s="2">
        <v>46287</v>
      </c>
      <c r="C177" s="3" t="s">
        <v>10</v>
      </c>
      <c r="D177" s="3" t="s">
        <v>15</v>
      </c>
      <c r="E177" s="3" t="s">
        <v>70</v>
      </c>
      <c r="G177" s="3" t="s">
        <v>76</v>
      </c>
      <c r="H177" s="3" t="s">
        <v>15</v>
      </c>
      <c r="I177" s="3" t="s">
        <v>16</v>
      </c>
      <c r="J177" s="4">
        <v>8</v>
      </c>
    </row>
    <row r="178" spans="1:10">
      <c r="A178" s="1" t="s">
        <v>18</v>
      </c>
      <c r="B178" s="2">
        <v>46288</v>
      </c>
      <c r="C178" s="3" t="s">
        <v>10</v>
      </c>
      <c r="D178" s="3" t="s">
        <v>15</v>
      </c>
      <c r="E178" s="3" t="s">
        <v>31</v>
      </c>
      <c r="G178" s="3" t="s">
        <v>76</v>
      </c>
      <c r="H178" s="3" t="s">
        <v>15</v>
      </c>
      <c r="I178" s="3" t="s">
        <v>16</v>
      </c>
      <c r="J178" s="4">
        <v>8</v>
      </c>
    </row>
    <row r="179" spans="1:10">
      <c r="A179" s="1" t="s">
        <v>18</v>
      </c>
      <c r="B179" s="2">
        <v>46289</v>
      </c>
      <c r="C179" s="3" t="s">
        <v>10</v>
      </c>
      <c r="D179" s="3" t="s">
        <v>15</v>
      </c>
      <c r="E179" s="3" t="s">
        <v>71</v>
      </c>
      <c r="G179" s="3" t="s">
        <v>76</v>
      </c>
      <c r="H179" s="3" t="s">
        <v>15</v>
      </c>
      <c r="I179" s="3" t="s">
        <v>16</v>
      </c>
      <c r="J179" s="4">
        <v>8</v>
      </c>
    </row>
    <row r="180" spans="1:10">
      <c r="A180" s="1" t="s">
        <v>18</v>
      </c>
      <c r="B180" s="2">
        <v>46290</v>
      </c>
      <c r="C180" s="3" t="s">
        <v>10</v>
      </c>
      <c r="D180" s="3" t="s">
        <v>15</v>
      </c>
      <c r="E180" s="3" t="s">
        <v>72</v>
      </c>
      <c r="G180" s="3" t="s">
        <v>76</v>
      </c>
      <c r="H180" s="3" t="s">
        <v>15</v>
      </c>
      <c r="I180" s="3" t="s">
        <v>16</v>
      </c>
      <c r="J180" s="4">
        <v>8</v>
      </c>
    </row>
    <row r="181" spans="1:10">
      <c r="A181" s="1" t="s">
        <v>18</v>
      </c>
      <c r="B181" s="2">
        <v>46293</v>
      </c>
      <c r="C181" s="3" t="s">
        <v>10</v>
      </c>
      <c r="D181" s="3" t="s">
        <v>15</v>
      </c>
      <c r="E181" s="3" t="s">
        <v>73</v>
      </c>
      <c r="G181" s="3" t="s">
        <v>76</v>
      </c>
      <c r="H181" s="3" t="s">
        <v>15</v>
      </c>
      <c r="I181" s="3" t="s">
        <v>16</v>
      </c>
      <c r="J181" s="4">
        <v>8</v>
      </c>
    </row>
    <row r="182" spans="1:10">
      <c r="A182" s="1" t="s">
        <v>18</v>
      </c>
      <c r="B182" s="2">
        <v>46294</v>
      </c>
      <c r="C182" s="3" t="s">
        <v>10</v>
      </c>
      <c r="D182" s="3" t="s">
        <v>15</v>
      </c>
      <c r="E182" s="3" t="s">
        <v>74</v>
      </c>
      <c r="G182" s="3" t="s">
        <v>76</v>
      </c>
      <c r="H182" s="3" t="s">
        <v>15</v>
      </c>
      <c r="I182" s="3" t="s">
        <v>16</v>
      </c>
      <c r="J182" s="4">
        <v>8</v>
      </c>
    </row>
    <row r="183" spans="1:10">
      <c r="A183" s="1" t="s">
        <v>18</v>
      </c>
      <c r="B183" s="2">
        <v>46295</v>
      </c>
      <c r="C183" s="3" t="s">
        <v>10</v>
      </c>
      <c r="D183" s="3" t="s">
        <v>15</v>
      </c>
      <c r="E183" s="3" t="s">
        <v>75</v>
      </c>
      <c r="G183" s="3" t="s">
        <v>76</v>
      </c>
      <c r="H183" s="3" t="s">
        <v>15</v>
      </c>
      <c r="I183" s="3" t="s">
        <v>16</v>
      </c>
      <c r="J183" s="4">
        <v>8</v>
      </c>
    </row>
  </sheetData>
  <conditionalFormatting sqref="B2:B174">
    <cfRule type="expression" dxfId="4" priority="2">
      <formula>OR(WEEKDAY(B2)=7, WEEKDAY(B2)=1)</formula>
    </cfRule>
  </conditionalFormatting>
  <conditionalFormatting sqref="A141:J174 A140:B140 D140:J140 A2:J139">
    <cfRule type="expression" dxfId="3" priority="3">
      <formula>OR($C2="Public Holiday",$C2="Weekday support",$C2="Weekend support",$C2="PH support")</formula>
    </cfRule>
    <cfRule type="expression" dxfId="2" priority="4">
      <formula>($C2="Leave")</formula>
    </cfRule>
  </conditionalFormatting>
  <conditionalFormatting sqref="C140">
    <cfRule type="expression" dxfId="1" priority="5">
      <formula>OR($C140="Public Holiday",$C140="Weekday support",$C140="Weekend support",$C140="PH support")</formula>
    </cfRule>
    <cfRule type="expression" dxfId="0" priority="6">
      <formula>($C140="Leave")</formula>
    </cfRule>
  </conditionalFormatting>
  <dataValidations count="4">
    <dataValidation allowBlank="1" showInputMessage="1" showErrorMessage="1" sqref="D1:F1 D2:E46 D175:F1183" xr:uid="{00000000-0002-0000-0000-000000000000}">
      <formula1>0</formula1>
      <formula2>0</formula2>
    </dataValidation>
    <dataValidation type="list" allowBlank="1" showInputMessage="1" showErrorMessage="1" sqref="C175:C1183" xr:uid="{00000000-0002-0000-0000-000001000000}">
      <formula1>"Project Task,Weekend support,Weekday support,Miscellaneous,Leave,Public Holiday,PH Support"</formula1>
      <formula2>0</formula2>
    </dataValidation>
    <dataValidation allowBlank="1" showInputMessage="1" showErrorMessage="1" promptTitle="Tran Quoc Tai" sqref="G2:G46" xr:uid="{00000000-0002-0000-0000-000002000000}">
      <formula1>0</formula1>
      <formula2>0</formula2>
    </dataValidation>
    <dataValidation type="list" allowBlank="1" showInputMessage="1" showErrorMessage="1" sqref="C2:C174" xr:uid="{00000000-0002-0000-0000-000003000000}">
      <formula1>"Leave,Half-day Leave,Comp-Off / Off-in-Lieu,Project Task,Weekday support,Weekend support,PH Support"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97"/>
  <sheetViews>
    <sheetView zoomScale="95" zoomScaleNormal="95" workbookViewId="0">
      <pane xSplit="5" ySplit="2" topLeftCell="F3" activePane="bottomRight" state="frozen"/>
      <selection pane="bottomRight" activeCell="N11" sqref="N11"/>
      <selection pane="bottomLeft" activeCell="A3" sqref="A3"/>
      <selection pane="topRight" activeCell="F1" sqref="F1"/>
    </sheetView>
  </sheetViews>
  <sheetFormatPr defaultColWidth="12.140625" defaultRowHeight="15.75"/>
  <cols>
    <col min="1" max="1" width="7.28515625" style="11" customWidth="1"/>
    <col min="2" max="2" width="20.28515625" style="11" customWidth="1"/>
    <col min="3" max="3" width="13.140625" style="11" customWidth="1"/>
    <col min="4" max="4" width="11.7109375" style="11" customWidth="1"/>
    <col min="5" max="5" width="12.5703125" style="11" customWidth="1"/>
    <col min="6" max="7" width="12.42578125" style="11" customWidth="1"/>
    <col min="8" max="8" width="13.7109375" style="11" customWidth="1"/>
    <col min="9" max="9" width="13.28515625" style="11" customWidth="1"/>
    <col min="10" max="10" width="13" style="11" customWidth="1"/>
    <col min="11" max="11" width="12.85546875" style="11" customWidth="1"/>
    <col min="12" max="12" width="12.7109375" style="11" customWidth="1"/>
    <col min="13" max="13" width="13.28515625" style="11" customWidth="1"/>
    <col min="14" max="14" width="15.140625" style="11" customWidth="1"/>
    <col min="15" max="15" width="14.7109375" style="11" customWidth="1"/>
    <col min="16" max="16" width="15.140625" style="11" customWidth="1"/>
    <col min="17" max="17" width="14.140625" style="11" customWidth="1"/>
    <col min="18" max="67" width="12.140625" style="14"/>
    <col min="68" max="16384" width="12.140625" style="11"/>
  </cols>
  <sheetData>
    <row r="1" spans="1:68" ht="15.75" customHeight="1">
      <c r="A1" s="11" t="s">
        <v>0</v>
      </c>
      <c r="B1" s="15">
        <v>46266</v>
      </c>
    </row>
    <row r="2" spans="1:68" ht="48" customHeight="1">
      <c r="A2" s="16" t="s">
        <v>77</v>
      </c>
      <c r="B2" s="17" t="s">
        <v>78</v>
      </c>
      <c r="C2" s="17" t="s">
        <v>79</v>
      </c>
      <c r="D2" s="17" t="s">
        <v>7</v>
      </c>
      <c r="E2" s="17" t="s">
        <v>80</v>
      </c>
      <c r="F2" s="18" t="s">
        <v>81</v>
      </c>
      <c r="G2" s="18" t="s">
        <v>82</v>
      </c>
      <c r="H2" s="18" t="s">
        <v>83</v>
      </c>
      <c r="I2" s="18" t="s">
        <v>84</v>
      </c>
      <c r="J2" s="18" t="s">
        <v>85</v>
      </c>
      <c r="K2" s="18" t="s">
        <v>86</v>
      </c>
      <c r="L2" s="18" t="s">
        <v>87</v>
      </c>
      <c r="M2" s="19" t="s">
        <v>88</v>
      </c>
      <c r="N2" s="19" t="s">
        <v>89</v>
      </c>
      <c r="O2" s="19" t="s">
        <v>90</v>
      </c>
      <c r="P2" s="19" t="s">
        <v>91</v>
      </c>
      <c r="Q2" s="19" t="s">
        <v>92</v>
      </c>
      <c r="R2" s="20" t="s">
        <v>93</v>
      </c>
      <c r="BP2" s="14"/>
    </row>
    <row r="3" spans="1:68" s="14" customFormat="1" ht="15.75" customHeight="1">
      <c r="A3" s="21">
        <f>ROW()-2</f>
        <v>1</v>
      </c>
      <c r="B3" s="22" t="s">
        <v>14</v>
      </c>
      <c r="C3" s="22" t="s">
        <v>94</v>
      </c>
      <c r="D3" s="22" t="s">
        <v>15</v>
      </c>
      <c r="E3" s="23" t="s">
        <v>95</v>
      </c>
      <c r="F3" s="24">
        <f>IFERROR(IF(Summary[[#This Row],[Actual Normal Working days]]=0,0,(Summary[[#This Row],[Actual Normal Working days]]+Summary[[#This Row],[Payable Leave days]])/Summary[[#This Row],[Calendar WD per Month]]),0)</f>
        <v>1</v>
      </c>
      <c r="G3" s="25">
        <f>INDEX(Time!$D$3:$O$3,MATCH(Summary!$B$1,Time!$D$1:$O$1,0))</f>
        <v>22</v>
      </c>
      <c r="H3" s="26">
        <f>SUMIFS(Timesheet!J:J,Timesheet!G:G,Summary!B3,Timesheet!C:C,"Project Task")/8</f>
        <v>22</v>
      </c>
      <c r="I3" s="26">
        <f>SUMIFS(Timesheet!J:J,Timesheet!G:G,Summary!B3,Timesheet!C:C,"Weekday support")/8</f>
        <v>0</v>
      </c>
      <c r="J3" s="26">
        <f>SUMIFS(Timesheet!J:J,Timesheet!G:G,Summary!B3,Timesheet!C:C,"Weekend support")/8</f>
        <v>3</v>
      </c>
      <c r="K3" s="26">
        <f>SUMIFS(Timesheet!J:J,Timesheet!G:G,Summary!B3,Timesheet!C:C,"PH Support")/8</f>
        <v>0</v>
      </c>
      <c r="L3" s="26">
        <f>(SUMIFS(Timesheet!J:J,Timesheet!G:G,Summary[[#This Row],[Name]],Timesheet!C:C,"Leave")+SUMIFS(Timesheet!J:J,Timesheet!G:G,Summary[[#This Row],[Name]],Timesheet!C:C,"Half-day Leave")+SUMIFS(Timesheet!J:J,Timesheet!G:G,Summary[[#This Row],[Name]],Timesheet!C:C,"Comp-Off / Off-in-Lieu"))/8</f>
        <v>0</v>
      </c>
      <c r="M3" s="27">
        <f>IF(Summary[[#This Row],[Days off in lieu per month]]&gt;0,IF(Summary[[#This Row],[Leave occur]]&lt;=(Summary[[#This Row],[Leave Balance- Up to each month]]+Summary[[#This Row],[Days off in lieu per month]]),Summary[[#This Row],[Leave occur]],Summary[[#This Row],[Leave Balance- Up to each month]]+Summary[[#This Row],[Days off in lieu per month]]),IF(Summary[[#This Row],[Leave occur]]&lt;=Summary[[#This Row],[Leave Balance- Up to each month]],Summary[[#This Row],[Leave occur]],Summary[[#This Row],[Leave Balance- Up to each month]]))</f>
        <v>0</v>
      </c>
      <c r="N3" s="23">
        <v>11</v>
      </c>
      <c r="O3" s="28">
        <f>Summary[[#This Row],[Leave Balance- Up to each month]]-Summary[[#This Row],[Used Annual Leaves]]</f>
        <v>11</v>
      </c>
      <c r="P3" s="27">
        <f>Summary[[#This Row],[Payable Leave days]]-Summary[[#This Row],[Used Days off in lieu]]</f>
        <v>0</v>
      </c>
      <c r="Q3" s="27">
        <f>SUM(Summary[[#This Row],[OT Weekdays]:[OT Holidays]])</f>
        <v>3</v>
      </c>
      <c r="R3" s="27">
        <f>IF(AND(Summary[[#This Row],[Days off in lieu per month]]&gt;0,Summary[[#This Row],[Payable Leave days]]&gt;0),IF(AND(Summary[[#This Row],[Leave occur]]&gt;0,Summary[[#This Row],[Leave occur]]&lt;=Summary[[#This Row],[Days off in lieu per month]]),Summary[[#This Row],[Leave occur]],Summary[[#This Row],[Days off in lieu per month]]),0)</f>
        <v>0</v>
      </c>
    </row>
    <row r="4" spans="1:68" s="14" customFormat="1" ht="15.75" customHeight="1">
      <c r="A4" s="21">
        <f>ROW()-2</f>
        <v>2</v>
      </c>
      <c r="B4" s="22" t="s">
        <v>21</v>
      </c>
      <c r="C4" s="22" t="s">
        <v>96</v>
      </c>
      <c r="D4" s="22" t="s">
        <v>15</v>
      </c>
      <c r="E4" s="23" t="s">
        <v>97</v>
      </c>
      <c r="F4" s="24">
        <f>IFERROR(IF(Summary[[#This Row],[Actual Normal Working days]]=0,0,(Summary[[#This Row],[Actual Normal Working days]]+Summary[[#This Row],[Payable Leave days]])/Summary[[#This Row],[Calendar WD per Month]]),0)</f>
        <v>1</v>
      </c>
      <c r="G4" s="25">
        <f>INDEX(Time!$D$3:$O$3,MATCH(Summary!$B$1,Time!$D$1:$O$1,0))</f>
        <v>22</v>
      </c>
      <c r="H4" s="26">
        <f>SUMIFS(Timesheet!J:J,Timesheet!G:G,Summary!B4,Timesheet!C:C,"Project Task")/8</f>
        <v>20</v>
      </c>
      <c r="I4" s="26">
        <f>SUMIFS(Timesheet!J:J,Timesheet!G:G,Summary!B4,Timesheet!C:C,"Weekday support")/8</f>
        <v>0</v>
      </c>
      <c r="J4" s="26">
        <f>SUMIFS(Timesheet!J:J,Timesheet!G:G,Summary!B4,Timesheet!C:C,"Weekend support")/8</f>
        <v>0</v>
      </c>
      <c r="K4" s="26">
        <f>SUMIFS(Timesheet!J:J,Timesheet!G:G,Summary!B4,Timesheet!C:C,"PH Support")/8</f>
        <v>0</v>
      </c>
      <c r="L4" s="26">
        <f>(SUMIFS(Timesheet!J:J,Timesheet!G:G,Summary[[#This Row],[Name]],Timesheet!C:C,"Leave")+SUMIFS(Timesheet!J:J,Timesheet!G:G,Summary[[#This Row],[Name]],Timesheet!C:C,"Half-day Leave")+SUMIFS(Timesheet!J:J,Timesheet!G:G,Summary[[#This Row],[Name]],Timesheet!C:C,"Comp-Off / Off-in-Lieu"))/8</f>
        <v>2</v>
      </c>
      <c r="M4" s="27">
        <f>IF(Summary[[#This Row],[Days off in lieu per month]]&gt;0,IF(Summary[[#This Row],[Leave occur]]&lt;=(Summary[[#This Row],[Leave Balance- Up to each month]]+Summary[[#This Row],[Days off in lieu per month]]),Summary[[#This Row],[Leave occur]],Summary[[#This Row],[Leave Balance- Up to each month]]+Summary[[#This Row],[Days off in lieu per month]]),IF(Summary[[#This Row],[Leave occur]]&lt;=Summary[[#This Row],[Leave Balance- Up to each month]],Summary[[#This Row],[Leave occur]],Summary[[#This Row],[Leave Balance- Up to each month]]))</f>
        <v>2</v>
      </c>
      <c r="N4" s="23">
        <v>9.5</v>
      </c>
      <c r="O4" s="28">
        <f>Summary[[#This Row],[Leave Balance- Up to each month]]-Summary[[#This Row],[Used Annual Leaves]]</f>
        <v>7.5</v>
      </c>
      <c r="P4" s="27">
        <f>Summary[[#This Row],[Payable Leave days]]-Summary[[#This Row],[Used Days off in lieu]]</f>
        <v>2</v>
      </c>
      <c r="Q4" s="27">
        <f>SUM(Summary[[#This Row],[OT Weekdays]:[OT Holidays]])</f>
        <v>0</v>
      </c>
      <c r="R4" s="27">
        <f>IF(AND(Summary[[#This Row],[Days off in lieu per month]]&gt;0,Summary[[#This Row],[Payable Leave days]]&gt;0),IF(AND(Summary[[#This Row],[Leave occur]]&gt;0,Summary[[#This Row],[Leave occur]]&lt;=Summary[[#This Row],[Days off in lieu per month]]),Summary[[#This Row],[Leave occur]],Summary[[#This Row],[Days off in lieu per month]]),0)</f>
        <v>0</v>
      </c>
    </row>
    <row r="5" spans="1:68" s="14" customFormat="1" ht="15.75" customHeight="1">
      <c r="A5" s="21">
        <f>ROW()-2</f>
        <v>3</v>
      </c>
      <c r="B5" s="22" t="s">
        <v>34</v>
      </c>
      <c r="C5" s="22" t="s">
        <v>98</v>
      </c>
      <c r="D5" s="22" t="s">
        <v>35</v>
      </c>
      <c r="E5" s="23" t="s">
        <v>97</v>
      </c>
      <c r="F5" s="24">
        <f>IFERROR(IF(Summary[[#This Row],[Actual Normal Working days]]=0,0,(Summary[[#This Row],[Actual Normal Working days]]+Summary[[#This Row],[Payable Leave days]])/Summary[[#This Row],[Calendar WD per Month]]),0)</f>
        <v>1</v>
      </c>
      <c r="G5" s="25">
        <f>INDEX(Time!$D$3:$O$3,MATCH(Summary!$B$1,Time!$D$1:$O$1,0))</f>
        <v>22</v>
      </c>
      <c r="H5" s="26">
        <f>SUMIFS(Timesheet!J:J,Timesheet!G:G,Summary!B5,Timesheet!C:C,"Project Task")/8</f>
        <v>21</v>
      </c>
      <c r="I5" s="26">
        <f>SUMIFS(Timesheet!J:J,Timesheet!G:G,Summary!B5,Timesheet!C:C,"Weekday support")/8</f>
        <v>0</v>
      </c>
      <c r="J5" s="26">
        <f>SUMIFS(Timesheet!J:J,Timesheet!G:G,Summary!B5,Timesheet!C:C,"Weekend support")/8</f>
        <v>1</v>
      </c>
      <c r="K5" s="26">
        <f>SUMIFS(Timesheet!J:J,Timesheet!G:G,Summary!B5,Timesheet!C:C,"PH Support")/8</f>
        <v>0</v>
      </c>
      <c r="L5" s="26">
        <f>(SUMIFS(Timesheet!J:J,Timesheet!G:G,Summary[[#This Row],[Name]],Timesheet!C:C,"Leave")+SUMIFS(Timesheet!J:J,Timesheet!G:G,Summary[[#This Row],[Name]],Timesheet!C:C,"Half-day Leave")+SUMIFS(Timesheet!J:J,Timesheet!G:G,Summary[[#This Row],[Name]],Timesheet!C:C,"Comp-Off / Off-in-Lieu"))/8</f>
        <v>1</v>
      </c>
      <c r="M5" s="27">
        <f>IF(Summary[[#This Row],[Days off in lieu per month]]&gt;0,IF(Summary[[#This Row],[Leave occur]]&lt;=(Summary[[#This Row],[Leave Balance- Up to each month]]+Summary[[#This Row],[Days off in lieu per month]]),Summary[[#This Row],[Leave occur]],Summary[[#This Row],[Leave Balance- Up to each month]]+Summary[[#This Row],[Days off in lieu per month]]),IF(Summary[[#This Row],[Leave occur]]&lt;=Summary[[#This Row],[Leave Balance- Up to each month]],Summary[[#This Row],[Leave occur]],Summary[[#This Row],[Leave Balance- Up to each month]]))</f>
        <v>1</v>
      </c>
      <c r="N5" s="23">
        <v>10</v>
      </c>
      <c r="O5" s="28">
        <f>Summary[[#This Row],[Leave Balance- Up to each month]]-Summary[[#This Row],[Used Annual Leaves]]</f>
        <v>10</v>
      </c>
      <c r="P5" s="27">
        <f>Summary[[#This Row],[Payable Leave days]]-Summary[[#This Row],[Used Days off in lieu]]</f>
        <v>0</v>
      </c>
      <c r="Q5" s="27">
        <f>SUM(Summary[[#This Row],[OT Weekdays]:[OT Holidays]])</f>
        <v>1</v>
      </c>
      <c r="R5" s="27">
        <f>IF(AND(Summary[[#This Row],[Days off in lieu per month]]&gt;0,Summary[[#This Row],[Payable Leave days]]&gt;0),IF(AND(Summary[[#This Row],[Leave occur]]&gt;0,Summary[[#This Row],[Leave occur]]&lt;=Summary[[#This Row],[Days off in lieu per month]]),Summary[[#This Row],[Leave occur]],Summary[[#This Row],[Days off in lieu per month]]),0)</f>
        <v>1</v>
      </c>
    </row>
    <row r="6" spans="1:68" s="14" customFormat="1" ht="15.75" customHeight="1">
      <c r="A6" s="21">
        <f>ROW()-2</f>
        <v>4</v>
      </c>
      <c r="B6" s="22" t="s">
        <v>41</v>
      </c>
      <c r="C6" s="22" t="s">
        <v>99</v>
      </c>
      <c r="D6" s="22" t="s">
        <v>35</v>
      </c>
      <c r="E6" s="23" t="s">
        <v>97</v>
      </c>
      <c r="F6" s="24">
        <f>IFERROR(IF(Summary[[#This Row],[Actual Normal Working days]]=0,0,(Summary[[#This Row],[Actual Normal Working days]]+Summary[[#This Row],[Payable Leave days]])/Summary[[#This Row],[Calendar WD per Month]]),0)</f>
        <v>1</v>
      </c>
      <c r="G6" s="25">
        <f>INDEX(Time!$D$3:$O$3,MATCH(Summary!$B$1,Time!$D$1:$O$1,0))</f>
        <v>22</v>
      </c>
      <c r="H6" s="26">
        <f>SUMIFS(Timesheet!J:J,Timesheet!G:G,Summary!B6,Timesheet!C:C,"Project Task")/8</f>
        <v>18</v>
      </c>
      <c r="I6" s="26">
        <f>SUMIFS(Timesheet!J:J,Timesheet!G:G,Summary!B6,Timesheet!C:C,"Weekday support")/8</f>
        <v>0</v>
      </c>
      <c r="J6" s="26">
        <f>SUMIFS(Timesheet!J:J,Timesheet!G:G,Summary!B6,Timesheet!C:C,"Weekend support")/8</f>
        <v>1</v>
      </c>
      <c r="K6" s="26">
        <f>SUMIFS(Timesheet!J:J,Timesheet!G:G,Summary!B6,Timesheet!C:C,"PH Support")/8</f>
        <v>0</v>
      </c>
      <c r="L6" s="26">
        <f>(SUMIFS(Timesheet!J:J,Timesheet!G:G,Summary[[#This Row],[Name]],Timesheet!C:C,"Leave")+SUMIFS(Timesheet!J:J,Timesheet!G:G,Summary[[#This Row],[Name]],Timesheet!C:C,"Half-day Leave")+SUMIFS(Timesheet!J:J,Timesheet!G:G,Summary[[#This Row],[Name]],Timesheet!C:C,"Comp-Off / Off-in-Lieu"))/8</f>
        <v>4</v>
      </c>
      <c r="M6" s="27">
        <f>IF(Summary[[#This Row],[Days off in lieu per month]]&gt;0,IF(Summary[[#This Row],[Leave occur]]&lt;=(Summary[[#This Row],[Leave Balance- Up to each month]]+Summary[[#This Row],[Days off in lieu per month]]),Summary[[#This Row],[Leave occur]],Summary[[#This Row],[Leave Balance- Up to each month]]+Summary[[#This Row],[Days off in lieu per month]]),IF(Summary[[#This Row],[Leave occur]]&lt;=Summary[[#This Row],[Leave Balance- Up to each month]],Summary[[#This Row],[Leave occur]],Summary[[#This Row],[Leave Balance- Up to each month]]))</f>
        <v>4</v>
      </c>
      <c r="N6" s="23">
        <v>10</v>
      </c>
      <c r="O6" s="28">
        <f>Summary[[#This Row],[Leave Balance- Up to each month]]-Summary[[#This Row],[Used Annual Leaves]]</f>
        <v>7</v>
      </c>
      <c r="P6" s="27">
        <f>Summary[[#This Row],[Payable Leave days]]-Summary[[#This Row],[Used Days off in lieu]]</f>
        <v>3</v>
      </c>
      <c r="Q6" s="27">
        <f>SUM(Summary[[#This Row],[OT Weekdays]:[OT Holidays]])</f>
        <v>1</v>
      </c>
      <c r="R6" s="27">
        <f>IF(AND(Summary[[#This Row],[Days off in lieu per month]]&gt;0,Summary[[#This Row],[Payable Leave days]]&gt;0),IF(AND(Summary[[#This Row],[Leave occur]]&gt;0,Summary[[#This Row],[Leave occur]]&lt;=Summary[[#This Row],[Days off in lieu per month]]),Summary[[#This Row],[Leave occur]],Summary[[#This Row],[Days off in lieu per month]]),0)</f>
        <v>1</v>
      </c>
    </row>
    <row r="7" spans="1:68" s="14" customFormat="1" ht="15.75" customHeight="1">
      <c r="A7" s="21">
        <f>ROW()-2</f>
        <v>5</v>
      </c>
      <c r="B7" s="22" t="s">
        <v>43</v>
      </c>
      <c r="C7" s="22" t="s">
        <v>100</v>
      </c>
      <c r="D7" s="22" t="s">
        <v>44</v>
      </c>
      <c r="E7" s="23" t="s">
        <v>97</v>
      </c>
      <c r="F7" s="24">
        <f>IFERROR(IF(Summary[[#This Row],[Actual Normal Working days]]=0,0,(Summary[[#This Row],[Actual Normal Working days]]+Summary[[#This Row],[Payable Leave days]])/Summary[[#This Row],[Calendar WD per Month]]),0)</f>
        <v>1</v>
      </c>
      <c r="G7" s="25">
        <f>INDEX(Time!$D$3:$O$3,MATCH(Summary!$B$1,Time!$D$1:$O$1,0))</f>
        <v>22</v>
      </c>
      <c r="H7" s="26">
        <f>SUMIFS(Timesheet!J:J,Timesheet!G:G,Summary!B7,Timesheet!C:C,"Project Task")/8</f>
        <v>19</v>
      </c>
      <c r="I7" s="26">
        <f>SUMIFS(Timesheet!J:J,Timesheet!G:G,Summary!B7,Timesheet!C:C,"Weekday support")/8</f>
        <v>0</v>
      </c>
      <c r="J7" s="26">
        <f>SUMIFS(Timesheet!J:J,Timesheet!G:G,Summary!B7,Timesheet!C:C,"Weekend support")/8</f>
        <v>1</v>
      </c>
      <c r="K7" s="26">
        <f>SUMIFS(Timesheet!J:J,Timesheet!G:G,Summary!B7,Timesheet!C:C,"PH Support")/8</f>
        <v>0</v>
      </c>
      <c r="L7" s="26">
        <f>(SUMIFS(Timesheet!J:J,Timesheet!G:G,Summary[[#This Row],[Name]],Timesheet!C:C,"Leave")+SUMIFS(Timesheet!J:J,Timesheet!G:G,Summary[[#This Row],[Name]],Timesheet!C:C,"Half-day Leave")+SUMIFS(Timesheet!J:J,Timesheet!G:G,Summary[[#This Row],[Name]],Timesheet!C:C,"Comp-Off / Off-in-Lieu"))/8</f>
        <v>3</v>
      </c>
      <c r="M7" s="27">
        <f>IF(Summary[[#This Row],[Days off in lieu per month]]&gt;0,IF(Summary[[#This Row],[Leave occur]]&lt;=(Summary[[#This Row],[Leave Balance- Up to each month]]+Summary[[#This Row],[Days off in lieu per month]]),Summary[[#This Row],[Leave occur]],Summary[[#This Row],[Leave Balance- Up to each month]]+Summary[[#This Row],[Days off in lieu per month]]),IF(Summary[[#This Row],[Leave occur]]&lt;=Summary[[#This Row],[Leave Balance- Up to each month]],Summary[[#This Row],[Leave occur]],Summary[[#This Row],[Leave Balance- Up to each month]]))</f>
        <v>3</v>
      </c>
      <c r="N7" s="23">
        <v>9</v>
      </c>
      <c r="O7" s="28">
        <f>Summary[[#This Row],[Leave Balance- Up to each month]]-Summary[[#This Row],[Used Annual Leaves]]</f>
        <v>7</v>
      </c>
      <c r="P7" s="27">
        <f>Summary[[#This Row],[Payable Leave days]]-Summary[[#This Row],[Used Days off in lieu]]</f>
        <v>2</v>
      </c>
      <c r="Q7" s="27">
        <f>SUM(Summary[[#This Row],[OT Weekdays]:[OT Holidays]])</f>
        <v>1</v>
      </c>
      <c r="R7" s="27">
        <f>IF(AND(Summary[[#This Row],[Days off in lieu per month]]&gt;0,Summary[[#This Row],[Payable Leave days]]&gt;0),IF(AND(Summary[[#This Row],[Leave occur]]&gt;0,Summary[[#This Row],[Leave occur]]&lt;=Summary[[#This Row],[Days off in lieu per month]]),Summary[[#This Row],[Leave occur]],Summary[[#This Row],[Days off in lieu per month]]),0)</f>
        <v>1</v>
      </c>
    </row>
    <row r="8" spans="1:68" s="14" customFormat="1" ht="15.75" customHeight="1">
      <c r="A8" s="29">
        <f>ROW()-2</f>
        <v>6</v>
      </c>
      <c r="B8" s="22" t="s">
        <v>56</v>
      </c>
      <c r="C8" s="22" t="s">
        <v>101</v>
      </c>
      <c r="D8" s="22" t="s">
        <v>15</v>
      </c>
      <c r="E8" s="23" t="s">
        <v>97</v>
      </c>
      <c r="F8" s="24">
        <f>IFERROR(IF(Summary[[#This Row],[Actual Normal Working days]]=0,0,(Summary[[#This Row],[Actual Normal Working days]]+Summary[[#This Row],[Payable Leave days]])/Summary[[#This Row],[Calendar WD per Month]]),0)</f>
        <v>1</v>
      </c>
      <c r="G8" s="25">
        <f>INDEX(Time!$D$3:$O$3,MATCH(Summary!$B$1,Time!$D$1:$O$1,0))</f>
        <v>22</v>
      </c>
      <c r="H8" s="26">
        <f>SUMIFS(Timesheet!J:J,Timesheet!G:G,Summary!B8,Timesheet!C:C,"Project Task")/8</f>
        <v>20</v>
      </c>
      <c r="I8" s="26">
        <f>SUMIFS(Timesheet!J:J,Timesheet!G:G,Summary!B8,Timesheet!C:C,"Weekday support")/8</f>
        <v>0</v>
      </c>
      <c r="J8" s="26">
        <f>SUMIFS(Timesheet!J:J,Timesheet!G:G,Summary!B8,Timesheet!C:C,"Weekend support")/8</f>
        <v>0</v>
      </c>
      <c r="K8" s="26">
        <f>SUMIFS(Timesheet!J:J,Timesheet!G:G,Summary!B8,Timesheet!C:C,"PH Support")/8</f>
        <v>0</v>
      </c>
      <c r="L8" s="26">
        <f>(SUMIFS(Timesheet!J:J,Timesheet!G:G,Summary[[#This Row],[Name]],Timesheet!C:C,"Leave")+SUMIFS(Timesheet!J:J,Timesheet!G:G,Summary[[#This Row],[Name]],Timesheet!C:C,"Half-day Leave")+SUMIFS(Timesheet!J:J,Timesheet!G:G,Summary[[#This Row],[Name]],Timesheet!C:C,"Comp-Off / Off-in-Lieu"))/8</f>
        <v>2</v>
      </c>
      <c r="M8" s="27">
        <f>IF(Summary[[#This Row],[Days off in lieu per month]]&gt;0,IF(Summary[[#This Row],[Leave occur]]&lt;=(Summary[[#This Row],[Leave Balance- Up to each month]]+Summary[[#This Row],[Days off in lieu per month]]),Summary[[#This Row],[Leave occur]],Summary[[#This Row],[Leave Balance- Up to each month]]+Summary[[#This Row],[Days off in lieu per month]]),IF(Summary[[#This Row],[Leave occur]]&lt;=Summary[[#This Row],[Leave Balance- Up to each month]],Summary[[#This Row],[Leave occur]],Summary[[#This Row],[Leave Balance- Up to each month]]))</f>
        <v>2</v>
      </c>
      <c r="N8" s="23">
        <v>7</v>
      </c>
      <c r="O8" s="28">
        <f>Summary[[#This Row],[Leave Balance- Up to each month]]-Summary[[#This Row],[Used Annual Leaves]]</f>
        <v>5</v>
      </c>
      <c r="P8" s="27">
        <f>Summary[[#This Row],[Payable Leave days]]-Summary[[#This Row],[Used Days off in lieu]]</f>
        <v>2</v>
      </c>
      <c r="Q8" s="27">
        <f>SUM(Summary[[#This Row],[OT Weekdays]:[OT Holidays]])</f>
        <v>0</v>
      </c>
      <c r="R8" s="27">
        <f>IF(AND(Summary[[#This Row],[Days off in lieu per month]]&gt;0,Summary[[#This Row],[Payable Leave days]]&gt;0),IF(AND(Summary[[#This Row],[Leave occur]]&gt;0,Summary[[#This Row],[Leave occur]]&lt;=Summary[[#This Row],[Days off in lieu per month]]),Summary[[#This Row],[Leave occur]],Summary[[#This Row],[Days off in lieu per month]]),0)</f>
        <v>0</v>
      </c>
    </row>
    <row r="9" spans="1:68" s="14" customFormat="1" ht="15.75" customHeight="1">
      <c r="A9" s="29">
        <f>ROW()-2</f>
        <v>7</v>
      </c>
      <c r="B9" s="22" t="s">
        <v>64</v>
      </c>
      <c r="C9" s="22" t="s">
        <v>102</v>
      </c>
      <c r="D9" s="22" t="s">
        <v>15</v>
      </c>
      <c r="E9" s="23" t="s">
        <v>97</v>
      </c>
      <c r="F9" s="24">
        <f>IFERROR(IF(Summary[[#This Row],[Actual Normal Working days]]=0,0,(Summary[[#This Row],[Actual Normal Working days]]+Summary[[#This Row],[Payable Leave days]])/Summary[[#This Row],[Calendar WD per Month]]),0)</f>
        <v>1</v>
      </c>
      <c r="G9" s="25">
        <f>INDEX(Time!$D$3:$O$3,MATCH(Summary!$B$1,Time!$D$1:$O$1,0))</f>
        <v>22</v>
      </c>
      <c r="H9" s="26">
        <f>SUMIFS(Timesheet!J:J,Timesheet!G:G,Summary!B9,Timesheet!C:C,"Project Task")/8</f>
        <v>20</v>
      </c>
      <c r="I9" s="26">
        <f>SUMIFS(Timesheet!J:J,Timesheet!G:G,Summary!B9,Timesheet!C:C,"Weekday support")/8</f>
        <v>0</v>
      </c>
      <c r="J9" s="26">
        <f>SUMIFS(Timesheet!J:J,Timesheet!G:G,Summary!B9,Timesheet!C:C,"Weekend support")/8</f>
        <v>0</v>
      </c>
      <c r="K9" s="26">
        <f>SUMIFS(Timesheet!J:J,Timesheet!G:G,Summary!B9,Timesheet!C:C,"PH Support")/8</f>
        <v>0</v>
      </c>
      <c r="L9" s="26">
        <f>(SUMIFS(Timesheet!J:J,Timesheet!G:G,Summary[[#This Row],[Name]],Timesheet!C:C,"Leave")+SUMIFS(Timesheet!J:J,Timesheet!G:G,Summary[[#This Row],[Name]],Timesheet!C:C,"Half-day Leave")+SUMIFS(Timesheet!J:J,Timesheet!G:G,Summary[[#This Row],[Name]],Timesheet!C:C,"Comp-Off / Off-in-Lieu"))/8</f>
        <v>2</v>
      </c>
      <c r="M9" s="27">
        <f>IF(Summary[[#This Row],[Days off in lieu per month]]&gt;0,IF(Summary[[#This Row],[Leave occur]]&lt;=(Summary[[#This Row],[Leave Balance- Up to each month]]+Summary[[#This Row],[Days off in lieu per month]]),Summary[[#This Row],[Leave occur]],Summary[[#This Row],[Leave Balance- Up to each month]]+Summary[[#This Row],[Days off in lieu per month]]),IF(Summary[[#This Row],[Leave occur]]&lt;=Summary[[#This Row],[Leave Balance- Up to each month]],Summary[[#This Row],[Leave occur]],Summary[[#This Row],[Leave Balance- Up to each month]]))</f>
        <v>2</v>
      </c>
      <c r="N9" s="23">
        <v>8</v>
      </c>
      <c r="O9" s="28">
        <f>Summary[[#This Row],[Leave Balance- Up to each month]]-Summary[[#This Row],[Used Annual Leaves]]</f>
        <v>6</v>
      </c>
      <c r="P9" s="27">
        <f>Summary[[#This Row],[Payable Leave days]]-Summary[[#This Row],[Used Days off in lieu]]</f>
        <v>2</v>
      </c>
      <c r="Q9" s="27">
        <f>SUM(Summary[[#This Row],[OT Weekdays]:[OT Holidays]])</f>
        <v>0</v>
      </c>
      <c r="R9" s="27">
        <f>IF(AND(Summary[[#This Row],[Days off in lieu per month]]&gt;0,Summary[[#This Row],[Payable Leave days]]&gt;0),IF(AND(Summary[[#This Row],[Leave occur]]&gt;0,Summary[[#This Row],[Leave occur]]&lt;=Summary[[#This Row],[Days off in lieu per month]]),Summary[[#This Row],[Leave occur]],Summary[[#This Row],[Days off in lieu per month]]),0)</f>
        <v>0</v>
      </c>
    </row>
    <row r="10" spans="1:68" s="14" customFormat="1" ht="15.75" customHeight="1">
      <c r="A10" s="29">
        <f>ROW()-2</f>
        <v>8</v>
      </c>
      <c r="B10" s="22" t="s">
        <v>76</v>
      </c>
      <c r="C10" s="22" t="s">
        <v>103</v>
      </c>
      <c r="D10" s="22" t="s">
        <v>15</v>
      </c>
      <c r="E10" s="23" t="s">
        <v>97</v>
      </c>
      <c r="F10" s="24">
        <f>IFERROR(IF(Summary[[#This Row],[Actual Normal Working days]]=0,0,(Summary[[#This Row],[Actual Normal Working days]]+Summary[[#This Row],[Payable Leave days]])/Summary[[#This Row],[Calendar WD per Month]]),0)</f>
        <v>1</v>
      </c>
      <c r="G10" s="25">
        <f>INDEX(Time!$D$3:$O$3,MATCH(Summary!$B$1,Time!$D$1:$O$1,0))</f>
        <v>22</v>
      </c>
      <c r="H10" s="26">
        <f>SUMIFS(Timesheet!J:J,Timesheet!G:G,Summary!B10,Timesheet!C:C,"Project Task")/8</f>
        <v>19</v>
      </c>
      <c r="I10" s="26">
        <f>SUMIFS(Timesheet!J:J,Timesheet!G:G,Summary!B10,Timesheet!C:C,"Weekday support")/8</f>
        <v>0</v>
      </c>
      <c r="J10" s="26">
        <f>SUMIFS(Timesheet!J:J,Timesheet!G:G,Summary!B10,Timesheet!C:C,"Weekend support")/8</f>
        <v>0</v>
      </c>
      <c r="K10" s="26">
        <f>SUMIFS(Timesheet!J:J,Timesheet!G:G,Summary!B10,Timesheet!C:C,"PH Support")/8</f>
        <v>0</v>
      </c>
      <c r="L10" s="26">
        <f>(SUMIFS(Timesheet!J:J,Timesheet!G:G,Summary[[#This Row],[Name]],Timesheet!C:C,"Leave")+SUMIFS(Timesheet!J:J,Timesheet!G:G,Summary[[#This Row],[Name]],Timesheet!C:C,"Half-day Leave")+SUMIFS(Timesheet!J:J,Timesheet!G:G,Summary[[#This Row],[Name]],Timesheet!C:C,"Comp-Off / Off-in-Lieu"))/8</f>
        <v>3</v>
      </c>
      <c r="M10" s="27">
        <f>IF(Summary[[#This Row],[Days off in lieu per month]]&gt;0,IF(Summary[[#This Row],[Leave occur]]&lt;=(Summary[[#This Row],[Leave Balance- Up to each month]]+Summary[[#This Row],[Days off in lieu per month]]),Summary[[#This Row],[Leave occur]],Summary[[#This Row],[Leave Balance- Up to each month]]+Summary[[#This Row],[Days off in lieu per month]]),IF(Summary[[#This Row],[Leave occur]]&lt;=Summary[[#This Row],[Leave Balance- Up to each month]],Summary[[#This Row],[Leave occur]],Summary[[#This Row],[Leave Balance- Up to each month]]))</f>
        <v>3</v>
      </c>
      <c r="N10" s="23">
        <v>8</v>
      </c>
      <c r="O10" s="28">
        <f>Summary[[#This Row],[Leave Balance- Up to each month]]-Summary[[#This Row],[Used Annual Leaves]]</f>
        <v>5</v>
      </c>
      <c r="P10" s="27">
        <f>Summary[[#This Row],[Payable Leave days]]-Summary[[#This Row],[Used Days off in lieu]]</f>
        <v>3</v>
      </c>
      <c r="Q10" s="27">
        <f>SUM(Summary[[#This Row],[OT Weekdays]:[OT Holidays]])</f>
        <v>0</v>
      </c>
      <c r="R10" s="27">
        <f>IF(AND(Summary[[#This Row],[Days off in lieu per month]]&gt;0,Summary[[#This Row],[Payable Leave days]]&gt;0),IF(AND(Summary[[#This Row],[Leave occur]]&gt;0,Summary[[#This Row],[Leave occur]]&lt;=Summary[[#This Row],[Days off in lieu per month]]),Summary[[#This Row],[Leave occur]],Summary[[#This Row],[Days off in lieu per month]]),0)</f>
        <v>0</v>
      </c>
    </row>
    <row r="11" spans="1:68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</row>
    <row r="12" spans="1:68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</row>
    <row r="13" spans="1:68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</row>
    <row r="14" spans="1:68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1:68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</row>
    <row r="16" spans="1:68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</row>
    <row r="17" spans="1: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spans="1:17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1:17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0" spans="1:17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  <row r="21" spans="1:17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</row>
    <row r="22" spans="1:17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1:17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</row>
    <row r="24" spans="1:17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 spans="1:17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 spans="1:17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</row>
    <row r="27" spans="1:1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</row>
    <row r="28" spans="1:17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1:17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</row>
    <row r="30" spans="1:17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</row>
    <row r="31" spans="1:17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</row>
    <row r="32" spans="1:17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 spans="1:17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 spans="1:17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 spans="1:17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</row>
    <row r="36" spans="1:17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 spans="1:1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spans="1:17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</row>
    <row r="39" spans="1:17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</row>
    <row r="40" spans="1:17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 spans="1:17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</row>
    <row r="42" spans="1:17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</row>
    <row r="43" spans="1:17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</row>
    <row r="44" spans="1:17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</row>
    <row r="45" spans="1:17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</row>
    <row r="46" spans="1:17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</row>
    <row r="47" spans="1:1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</row>
    <row r="48" spans="1:17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</row>
    <row r="49" spans="1:17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</row>
    <row r="50" spans="1:17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spans="1:17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</row>
    <row r="52" spans="1:17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 spans="1:17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</row>
    <row r="54" spans="1:17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</row>
    <row r="55" spans="1:17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</row>
    <row r="56" spans="1:17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spans="1:1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</row>
    <row r="58" spans="1:17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</row>
    <row r="59" spans="1:17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</row>
    <row r="60" spans="1:17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</row>
    <row r="61" spans="1:17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</row>
    <row r="62" spans="1:17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</row>
    <row r="63" spans="1:17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</row>
    <row r="64" spans="1:17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</row>
    <row r="65" spans="1:17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</row>
    <row r="66" spans="1:17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</row>
    <row r="67" spans="1:1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</row>
    <row r="68" spans="1:17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</row>
    <row r="69" spans="1:17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</row>
    <row r="70" spans="1:17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</row>
    <row r="71" spans="1:17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</row>
    <row r="72" spans="1:17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</row>
    <row r="73" spans="1:17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</row>
    <row r="74" spans="1:17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</row>
    <row r="75" spans="1:17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</row>
    <row r="76" spans="1:17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</row>
    <row r="77" spans="1:1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</row>
    <row r="78" spans="1:17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</row>
    <row r="79" spans="1:17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</row>
    <row r="80" spans="1:17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</row>
    <row r="81" spans="1:17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</row>
    <row r="82" spans="1:17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</row>
    <row r="83" spans="1:17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</row>
    <row r="84" spans="1:17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spans="1:17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</row>
    <row r="86" spans="1:17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</row>
    <row r="87" spans="1:1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</row>
    <row r="88" spans="1:17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</row>
    <row r="89" spans="1:17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</row>
    <row r="90" spans="1:17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</row>
    <row r="91" spans="1:17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</row>
    <row r="92" spans="1:17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</row>
    <row r="93" spans="1:17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</row>
    <row r="94" spans="1:17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</row>
    <row r="95" spans="1:17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</row>
    <row r="96" spans="1:17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</row>
    <row r="97" spans="1:1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</row>
  </sheetData>
  <dataValidations count="1">
    <dataValidation type="list" allowBlank="1" showInputMessage="1" showErrorMessage="1" sqref="E3:E10" xr:uid="{00000000-0002-0000-0100-000000000000}">
      <formula1>"Offshore,Long onsite"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"/>
  <sheetViews>
    <sheetView zoomScale="95" zoomScaleNormal="95" workbookViewId="0"/>
  </sheetViews>
  <sheetFormatPr defaultColWidth="9.85546875" defaultRowHeight="16.5"/>
  <cols>
    <col min="1" max="16384" width="9.85546875" style="30"/>
  </cols>
  <sheetData>
    <row r="1" spans="1:15">
      <c r="A1" s="31"/>
      <c r="B1" s="31"/>
      <c r="C1" s="31"/>
      <c r="D1" s="32">
        <v>46023</v>
      </c>
      <c r="E1" s="32">
        <v>46054</v>
      </c>
      <c r="F1" s="32">
        <v>46082</v>
      </c>
      <c r="G1" s="32">
        <v>46113</v>
      </c>
      <c r="H1" s="32">
        <v>46143</v>
      </c>
      <c r="I1" s="32">
        <v>46174</v>
      </c>
      <c r="J1" s="32">
        <v>46204</v>
      </c>
      <c r="K1" s="32">
        <v>46235</v>
      </c>
      <c r="L1" s="32">
        <v>46266</v>
      </c>
      <c r="M1" s="32">
        <v>46296</v>
      </c>
      <c r="N1" s="32">
        <v>46327</v>
      </c>
      <c r="O1" s="32">
        <v>46357</v>
      </c>
    </row>
    <row r="2" spans="1:15">
      <c r="A2" s="31"/>
      <c r="B2" s="31"/>
      <c r="C2" s="31"/>
      <c r="D2" s="33">
        <v>46053</v>
      </c>
      <c r="E2" s="33">
        <v>46081</v>
      </c>
      <c r="F2" s="33">
        <v>46112</v>
      </c>
      <c r="G2" s="33">
        <v>46142</v>
      </c>
      <c r="H2" s="33">
        <v>46173</v>
      </c>
      <c r="I2" s="33">
        <v>46203</v>
      </c>
      <c r="J2" s="33">
        <v>46234</v>
      </c>
      <c r="K2" s="33">
        <v>46265</v>
      </c>
      <c r="L2" s="33">
        <v>46295</v>
      </c>
      <c r="M2" s="33">
        <v>46326</v>
      </c>
      <c r="N2" s="33">
        <v>46356</v>
      </c>
      <c r="O2" s="33">
        <v>46387</v>
      </c>
    </row>
    <row r="3" spans="1:15">
      <c r="A3" s="34" t="s">
        <v>104</v>
      </c>
      <c r="B3" s="35"/>
      <c r="C3" s="35"/>
      <c r="D3" s="36">
        <f>NETWORKDAYS(D1,D2,D4:D6)</f>
        <v>21</v>
      </c>
      <c r="E3" s="36">
        <f>NETWORKDAYS(E1,E2,E4:E6)</f>
        <v>18</v>
      </c>
      <c r="F3" s="36">
        <f>NETWORKDAYS(F1,F2,F4:F6)</f>
        <v>22</v>
      </c>
      <c r="G3" s="36">
        <f>NETWORKDAYS(G1,G2,G4:G6)</f>
        <v>21</v>
      </c>
      <c r="H3" s="36">
        <f>NETWORKDAYS(H1,H2,H4:H6)</f>
        <v>19</v>
      </c>
      <c r="I3" s="36">
        <f>NETWORKDAYS(I1,I2,I4:I6)</f>
        <v>21</v>
      </c>
      <c r="J3" s="36">
        <f>NETWORKDAYS(J1,J2,J4:J6)</f>
        <v>23</v>
      </c>
      <c r="K3" s="36">
        <f>NETWORKDAYS(K1,K2,K4:K6)</f>
        <v>20</v>
      </c>
      <c r="L3" s="36">
        <f>NETWORKDAYS(L1,L2,L4:L6)</f>
        <v>22</v>
      </c>
      <c r="M3" s="36">
        <f>NETWORKDAYS(M1,M2,M4:M6)</f>
        <v>22</v>
      </c>
      <c r="N3" s="36">
        <f>NETWORKDAYS(N1,N2,N4:N6)</f>
        <v>20</v>
      </c>
      <c r="O3" s="36">
        <f>NETWORKDAYS(O1,O2,O4:O6)</f>
        <v>22</v>
      </c>
    </row>
    <row r="4" spans="1:15">
      <c r="A4" s="37"/>
      <c r="B4" s="37"/>
      <c r="C4" s="36"/>
      <c r="D4" s="38">
        <v>46023</v>
      </c>
      <c r="E4" s="38">
        <v>46070</v>
      </c>
      <c r="F4" s="38"/>
      <c r="G4" s="38">
        <v>46115</v>
      </c>
      <c r="H4" s="38">
        <v>46143</v>
      </c>
      <c r="I4" s="38">
        <v>46174</v>
      </c>
      <c r="J4" s="38"/>
      <c r="K4" s="38">
        <v>46244</v>
      </c>
      <c r="L4" s="38"/>
      <c r="M4" s="38"/>
      <c r="N4" s="38">
        <v>46335</v>
      </c>
      <c r="O4" s="38">
        <v>46381</v>
      </c>
    </row>
    <row r="5" spans="1:15">
      <c r="A5" s="39"/>
      <c r="B5" s="39"/>
      <c r="C5" s="36"/>
      <c r="D5" s="38"/>
      <c r="E5" s="38">
        <v>46071</v>
      </c>
      <c r="F5" s="38"/>
      <c r="G5" s="38"/>
      <c r="H5" s="38">
        <v>46169</v>
      </c>
      <c r="I5" s="38"/>
      <c r="J5" s="38"/>
      <c r="K5" s="38"/>
      <c r="L5" s="38"/>
      <c r="M5" s="38"/>
      <c r="N5" s="38"/>
      <c r="O5" s="38"/>
    </row>
    <row r="6" spans="1:15">
      <c r="A6" s="39"/>
      <c r="B6" s="39"/>
      <c r="C6" s="36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</row>
    <row r="8" spans="1:15"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</row>
  </sheetData>
  <pageMargins left="0.7" right="0.7" top="0.75" bottom="0.75" header="0.511811023622047" footer="0.511811023622047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524C9284A2CE4A9792EBE19BE4431D" ma:contentTypeVersion="14" ma:contentTypeDescription="Create a new document." ma:contentTypeScope="" ma:versionID="c7b70ba08b9a6048afe5789ede3094ab">
  <xsd:schema xmlns:xsd="http://www.w3.org/2001/XMLSchema" xmlns:xs="http://www.w3.org/2001/XMLSchema" xmlns:p="http://schemas.microsoft.com/office/2006/metadata/properties" xmlns:ns2="f4b68c6a-4a8e-43e0-9be7-36ab51ea8e1b" xmlns:ns3="23545163-dc92-4254-90fa-1adcb55a2043" targetNamespace="http://schemas.microsoft.com/office/2006/metadata/properties" ma:root="true" ma:fieldsID="01bb2f36a4a6ed1aac837b32c23e2ac2" ns2:_="" ns3:_="">
    <xsd:import namespace="f4b68c6a-4a8e-43e0-9be7-36ab51ea8e1b"/>
    <xsd:import namespace="23545163-dc92-4254-90fa-1adcb55a20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b68c6a-4a8e-43e0-9be7-36ab51ea8e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c97e1a9-fa82-4965-b735-0e061acf92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545163-dc92-4254-90fa-1adcb55a204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6799512-912b-45c2-a5ae-5660f61a2a58}" ma:internalName="TaxCatchAll" ma:showField="CatchAllData" ma:web="23545163-dc92-4254-90fa-1adcb55a20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3545163-dc92-4254-90fa-1adcb55a2043" xsi:nil="true"/>
    <lcf76f155ced4ddcb4097134ff3c332f xmlns="f4b68c6a-4a8e-43e0-9be7-36ab51ea8e1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3D80F7-C7BD-4ED6-9765-C8DC15986CF6}"/>
</file>

<file path=customXml/itemProps2.xml><?xml version="1.0" encoding="utf-8"?>
<ds:datastoreItem xmlns:ds="http://schemas.openxmlformats.org/officeDocument/2006/customXml" ds:itemID="{AEBA7B24-F15A-41B9-9E6F-69434C5F8DBE}"/>
</file>

<file path=customXml/itemProps3.xml><?xml version="1.0" encoding="utf-8"?>
<ds:datastoreItem xmlns:ds="http://schemas.openxmlformats.org/officeDocument/2006/customXml" ds:itemID="{219E9F87-275F-4E90-9CAB-0D3D05D25E68}"/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2026-10-05T08:32:45Z</dcterms:created>
  <dcterms:modified xsi:type="dcterms:W3CDTF">2026-10-12T02:20:17Z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ContentTypeId">
    <vt:lpwstr>0x01010090524C9284A2CE4A9792EBE19BE4431D</vt:lpwstr>
  </property>
  <property fmtid="{D5CDD505-2E9C-101B-9397-08002B2CF9AE}" pid="4" name="MediaServiceImageTags">
    <vt:lpwstr/>
  </property>
</Properties>
</file>